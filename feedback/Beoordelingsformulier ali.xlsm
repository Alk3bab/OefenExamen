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mc:AlternateContent xmlns:mc="http://schemas.openxmlformats.org/markup-compatibility/2006">
    <mc:Choice Requires="x15">
      <x15ac:absPath xmlns:x15ac="http://schemas.microsoft.com/office/spreadsheetml/2010/11/ac" url="C:\Users\aliyu\Downloads\"/>
    </mc:Choice>
  </mc:AlternateContent>
  <xr:revisionPtr revIDLastSave="0" documentId="8_{CBCF0B81-7024-4CCC-BFE9-ED50160D9727}" xr6:coauthVersionLast="47" xr6:coauthVersionMax="47" xr10:uidLastSave="{00000000-0000-0000-0000-000000000000}"/>
  <bookViews>
    <workbookView xWindow="-108" yWindow="-108" windowWidth="23256" windowHeight="1245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definedNames>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30" i="93" a="1"/>
  <c r="B30" i="93" s="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<sst xmlns="http://schemas.openxmlformats.org/spreadsheetml/2006/main" count="564" uniqueCount="211">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</sst>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Bad" xfId="1" builtinId="27"/>
    <cellStyle name="Normal"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fmlaLink="'B1-K1-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fmlaLink="'B1-K1-W3'!$K$26" lockText="1" noThreeD="1"/>
</file>

<file path=xl/ctrlProps/ctrlProp47.xml><?xml version="1.0" encoding="utf-8"?>
<formControlPr xmlns="http://schemas.microsoft.com/office/spreadsheetml/2009/9/main" objectType="CheckBox"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fmlaLink="'B1-K1-W3'!$K$28" lockText="1" noThreeD="1"/>
</file>

<file path=xl/ctrlProps/ctrlProp55.xml><?xml version="1.0" encoding="utf-8"?>
<formControlPr xmlns="http://schemas.microsoft.com/office/spreadsheetml/2009/9/main" objectType="CheckBox"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fmlaLink="'B1-K1-W3'!$L$29" lockText="1" noThreeD="1"/>
</file>

<file path=xl/ctrlProps/ctrlProp60.xml><?xml version="1.0" encoding="utf-8"?>
<formControlPr xmlns="http://schemas.microsoft.com/office/spreadsheetml/2009/9/main" objectType="CheckBox"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fmlaLink="'B1-K1-W4'!$L$26"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fmlaLink="'B1-K1-W5'!$J$31"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Publiceren</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4" x14ac:dyDescent="0.3"/>
  <cols>
    <col min="1" max="1" width="33.21875" customWidth="1"/>
    <col min="2" max="3" width="33.5546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20</v>
      </c>
      <c r="B7" s="102" t="str">
        <f>KerntakenEnWerkprocessen!B7</f>
        <v>[Examennaam]</v>
      </c>
      <c r="C7" s="103"/>
    </row>
    <row r="8" spans="1:6" s="16" customFormat="1" ht="23.25" customHeight="1" x14ac:dyDescent="0.3">
      <c r="A8" s="52" t="s">
        <v>21</v>
      </c>
      <c r="B8" s="102" t="str">
        <f>KerntakenEnWerkprocessen!C7</f>
        <v xml:space="preserve">SD_SD20_B1-K1_2v3 </v>
      </c>
      <c r="C8" s="103"/>
    </row>
    <row r="9" spans="1:6" s="16" customFormat="1" ht="23.25" customHeight="1" x14ac:dyDescent="0.3">
      <c r="A9" s="52" t="s">
        <v>22</v>
      </c>
      <c r="B9" s="102" t="str">
        <f>KerntakenEnWerkprocessen!B9</f>
        <v>P1: Software developer, 4</v>
      </c>
      <c r="C9" s="103"/>
    </row>
    <row r="10" spans="1:6" s="16" customFormat="1" ht="23.25" customHeight="1" x14ac:dyDescent="0.3">
      <c r="A10" s="52" t="s">
        <v>23</v>
      </c>
      <c r="B10" s="102" t="str">
        <f>KerntakenEnWerkprocessen!B8</f>
        <v>Softwaredevelopment</v>
      </c>
      <c r="C10" s="103"/>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100" t="str">
        <f>KerntakenEnWerkprocessen!C5</f>
        <v>Realiseert software</v>
      </c>
      <c r="C12" s="100"/>
    </row>
    <row r="13" spans="1:6" s="16" customFormat="1" ht="2.1" customHeight="1" x14ac:dyDescent="0.3">
      <c r="A13" s="54"/>
      <c r="B13" s="28"/>
      <c r="C13" s="29"/>
    </row>
    <row r="14" spans="1:6" ht="222.75" customHeight="1" x14ac:dyDescent="0.3">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104" t="str">
        <f>CONCATENATE(kerntaakCode,": ",kerntaakNaam)</f>
        <v>B1-K1: Realiseert software</v>
      </c>
      <c r="C10" s="104"/>
      <c r="D10" s="104"/>
      <c r="E10" s="104"/>
      <c r="F10" s="104"/>
      <c r="G10" s="104"/>
    </row>
    <row r="11" spans="1:7" ht="28.5" customHeight="1" x14ac:dyDescent="0.5">
      <c r="B11" s="105" t="e">
        <f>CONCATENATE(VLOOKUP(B1,werkprocessen,1,FALSE),": ",C1)</f>
        <v>#N/A</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6" t="s">
        <v>46</v>
      </c>
      <c r="C4" s="106"/>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abSelected="1" workbookViewId="0">
      <selection activeCell="A20" sqref="A20"/>
    </sheetView>
  </sheetViews>
  <sheetFormatPr defaultRowHeight="14.4" x14ac:dyDescent="0.3"/>
  <cols>
    <col min="1" max="1" width="33.21875" customWidth="1"/>
    <col min="2" max="3" width="33.5546875" customWidth="1"/>
    <col min="4" max="4" width="27.21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21</v>
      </c>
      <c r="B7" s="102" t="str">
        <f>KerntakenEnWerkprocessen!C7</f>
        <v xml:space="preserve">SD_SD20_B1-K1_2v3 </v>
      </c>
      <c r="C7" s="103"/>
    </row>
    <row r="8" spans="1:6" s="16" customFormat="1" ht="23.25" customHeight="1" x14ac:dyDescent="0.3">
      <c r="A8" s="52" t="s">
        <v>22</v>
      </c>
      <c r="B8" s="102" t="str">
        <f>KerntakenEnWerkprocessen!B9</f>
        <v>P1: Software developer, 4</v>
      </c>
      <c r="C8" s="103"/>
    </row>
    <row r="9" spans="1:6" s="16" customFormat="1" ht="23.25" customHeight="1" x14ac:dyDescent="0.3">
      <c r="A9" s="52" t="s">
        <v>23</v>
      </c>
      <c r="B9" s="102" t="str">
        <f>KerntakenEnWerkprocessen!B8</f>
        <v>Softwaredevelopment</v>
      </c>
      <c r="C9" s="103"/>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100" t="str">
        <f>KerntakenEnWerkprocessen!C5</f>
        <v>Realiseert software</v>
      </c>
      <c r="C11" s="100"/>
    </row>
    <row r="12" spans="1:6" s="16" customFormat="1" ht="2.1" customHeight="1" x14ac:dyDescent="0.3">
      <c r="A12" s="54"/>
      <c r="B12" s="28"/>
      <c r="C12" s="29"/>
    </row>
    <row r="13" spans="1:6" ht="222.75" customHeight="1" x14ac:dyDescent="0.3">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3">
      <c r="A15" s="110" t="s">
        <v>36</v>
      </c>
      <c r="B15" s="111"/>
      <c r="C15" s="112"/>
    </row>
    <row r="16" spans="1:6" ht="13.5" customHeight="1" x14ac:dyDescent="0.3">
      <c r="A16" s="77" t="s">
        <v>37</v>
      </c>
      <c r="B16" s="113"/>
      <c r="C16" s="114"/>
      <c r="D16" s="78" t="s">
        <v>136</v>
      </c>
    </row>
    <row r="17" spans="1:4" x14ac:dyDescent="0.3">
      <c r="A17" s="77" t="s">
        <v>38</v>
      </c>
      <c r="B17" s="107"/>
      <c r="C17" s="108"/>
    </row>
    <row r="18" spans="1:4" x14ac:dyDescent="0.3">
      <c r="A18" s="77" t="s">
        <v>39</v>
      </c>
      <c r="B18" s="115"/>
      <c r="C18" s="116"/>
    </row>
    <row r="19" spans="1:4" x14ac:dyDescent="0.3">
      <c r="A19" s="77" t="s">
        <v>40</v>
      </c>
      <c r="B19" s="107"/>
      <c r="C19" s="108"/>
    </row>
    <row r="20" spans="1:4" x14ac:dyDescent="0.3">
      <c r="A20" s="77" t="s">
        <v>137</v>
      </c>
      <c r="B20" s="107"/>
      <c r="C20" s="108"/>
    </row>
    <row r="21" spans="1:4" x14ac:dyDescent="0.3">
      <c r="A21" s="77" t="s">
        <v>138</v>
      </c>
      <c r="B21" s="107"/>
      <c r="C21" s="108"/>
    </row>
    <row r="22" spans="1:4" ht="15" thickBot="1" x14ac:dyDescent="0.35"/>
    <row r="23" spans="1:4" ht="15" thickBot="1" x14ac:dyDescent="0.35">
      <c r="A23" s="95" t="s">
        <v>26</v>
      </c>
      <c r="B23" s="94" t="s">
        <v>139</v>
      </c>
      <c r="C23" s="109" t="s">
        <v>140</v>
      </c>
    </row>
    <row r="24" spans="1:4" x14ac:dyDescent="0.3">
      <c r="A24" s="77" t="s">
        <v>63</v>
      </c>
      <c r="B24" s="79" t="str">
        <f>'B1-K1-W1'!B45</f>
        <v/>
      </c>
      <c r="C24" s="109"/>
    </row>
    <row r="25" spans="1:4" x14ac:dyDescent="0.3">
      <c r="A25" s="77" t="s">
        <v>65</v>
      </c>
      <c r="B25" s="79" t="str">
        <f>IF('B1-K1-W2'!E30=TRUE,'B1-K1-W2'!B46,"")</f>
        <v/>
      </c>
      <c r="C25" s="109"/>
    </row>
    <row r="26" spans="1:4" x14ac:dyDescent="0.3">
      <c r="A26" s="77" t="s">
        <v>67</v>
      </c>
      <c r="B26" s="79" t="str">
        <f>IF('B1-K1-W3'!E33=TRUE,'B1-K1-W3'!B64,"")</f>
        <v/>
      </c>
      <c r="C26" s="109"/>
    </row>
    <row r="27" spans="1:4" x14ac:dyDescent="0.3">
      <c r="A27" s="77" t="s">
        <v>69</v>
      </c>
      <c r="B27" s="79" t="str">
        <f>'B1-K1-W4'!B41</f>
        <v/>
      </c>
      <c r="C27" s="109"/>
    </row>
    <row r="28" spans="1:4" x14ac:dyDescent="0.3">
      <c r="A28" s="77" t="s">
        <v>71</v>
      </c>
      <c r="B28" s="79" t="str">
        <f>IF('B1-K1-W5'!E35=TRUE,'B1-K1-W5'!B52,"")</f>
        <v/>
      </c>
      <c r="C28" s="109"/>
    </row>
    <row r="29" spans="1:4" x14ac:dyDescent="0.3">
      <c r="A29" s="16"/>
      <c r="B29" s="89"/>
      <c r="C29" s="88"/>
      <c r="D29" s="92"/>
    </row>
    <row r="30" spans="1:4" x14ac:dyDescent="0.3">
      <c r="A30" s="90" t="s">
        <v>141</v>
      </c>
      <c r="B30" s="91" t="str" cm="1">
        <f t="array" ref="B30">IF(OR(B24:B28&lt;5.5),1,IF(OR(B24:B28=""),"",(AVERAGE(B24:B28))))</f>
        <v/>
      </c>
      <c r="C30" s="88"/>
    </row>
    <row r="31" spans="1:4" ht="15" thickBot="1" x14ac:dyDescent="0.35"/>
    <row r="32" spans="1:4" x14ac:dyDescent="0.3">
      <c r="A32" s="95" t="s">
        <v>142</v>
      </c>
      <c r="B32" s="95" t="s">
        <v>143</v>
      </c>
    </row>
    <row r="33" spans="1:3" x14ac:dyDescent="0.3">
      <c r="A33" s="80"/>
      <c r="B33" s="80"/>
      <c r="C33" s="81"/>
    </row>
    <row r="34" spans="1:3" x14ac:dyDescent="0.3">
      <c r="A34" s="82"/>
      <c r="B34" s="82"/>
    </row>
    <row r="35" spans="1:3" x14ac:dyDescent="0.3">
      <c r="A35" s="82"/>
      <c r="B35" s="82"/>
    </row>
    <row r="36" spans="1:3" x14ac:dyDescent="0.3">
      <c r="A36" s="82"/>
      <c r="B36" s="82"/>
    </row>
    <row r="37" spans="1:3" ht="15" thickBot="1" x14ac:dyDescent="0.35">
      <c r="A37" s="83"/>
      <c r="B37" s="83"/>
    </row>
  </sheetData>
  <mergeCells count="16">
    <mergeCell ref="B9:C9"/>
    <mergeCell ref="B11:C11"/>
    <mergeCell ref="B13:C13"/>
    <mergeCell ref="A1:C1"/>
    <mergeCell ref="A3:C3"/>
    <mergeCell ref="B6:C6"/>
    <mergeCell ref="B7:C7"/>
    <mergeCell ref="B8:C8"/>
    <mergeCell ref="B20:C20"/>
    <mergeCell ref="B21:C21"/>
    <mergeCell ref="C23:C28"/>
    <mergeCell ref="A15:C15"/>
    <mergeCell ref="B16:C16"/>
    <mergeCell ref="B17:C17"/>
    <mergeCell ref="B18:C18"/>
    <mergeCell ref="B19:C19"/>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12"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B1-K1-W1: Plant werkzaamheden en bewaakt de voortgang</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
      </c>
      <c r="D19" s="10"/>
      <c r="E19" s="10"/>
      <c r="F19" s="10"/>
      <c r="G19" s="14"/>
    </row>
    <row r="20" spans="1:15" ht="23.25" customHeight="1" x14ac:dyDescent="0.3"/>
    <row r="21" spans="1:15" ht="24" customHeight="1" x14ac:dyDescent="0.3">
      <c r="B21" s="118" t="s">
        <v>144</v>
      </c>
      <c r="C21" s="118"/>
      <c r="D21" s="118"/>
      <c r="E21" s="118"/>
      <c r="F21" s="118"/>
      <c r="G21" s="118"/>
    </row>
    <row r="22" spans="1:15" hidden="1" x14ac:dyDescent="0.3">
      <c r="A22" t="s">
        <v>145</v>
      </c>
      <c r="B22" s="59">
        <v>1</v>
      </c>
      <c r="D22" s="8" t="s">
        <v>146</v>
      </c>
      <c r="E22" s="60" t="s">
        <v>147</v>
      </c>
      <c r="G22" s="8" t="s">
        <v>148</v>
      </c>
      <c r="H22" s="59">
        <f>COUNTIF(Beheersingsniveaus!$C$4:$C$154,$E22)</f>
        <v>4</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05000000000001" customHeight="1" x14ac:dyDescent="0.3">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0</v>
      </c>
      <c r="L24" s="59"/>
      <c r="M24" s="59">
        <f>IF(L24=TRUE,3,IF(K24=TRUE,2,IF(J24=TRUE,1,IF(I24=TRUE,0,0))))</f>
        <v>0</v>
      </c>
      <c r="N24" s="59">
        <f>(4-COUNTBLANK(D24:G24))-1</f>
        <v>3</v>
      </c>
      <c r="O24" s="59">
        <f>COUNTA(I24:L24)</f>
        <v>1</v>
      </c>
    </row>
    <row r="25" spans="1:15" ht="115.05" customHeight="1" x14ac:dyDescent="0.3">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0</v>
      </c>
      <c r="L25" s="59" t="b">
        <v>0</v>
      </c>
      <c r="M25" s="59">
        <f>IF(L25=TRUE,3,IF(K25=TRUE,2,IF(J25=TRUE,1,IF(I25=TRUE,0,0))))</f>
        <v>0</v>
      </c>
      <c r="N25" s="59">
        <f>(4-COUNTBLANK(D25:G25))-1</f>
        <v>3</v>
      </c>
      <c r="O25" s="59">
        <f>COUNTA(I25:L25)</f>
        <v>3</v>
      </c>
    </row>
    <row r="26" spans="1:15" ht="115.05" customHeight="1" x14ac:dyDescent="0.3">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c r="M26" s="59">
        <f>IF(L26=TRUE,3,IF(K26=TRUE,2,IF(J26=TRUE,1,IF(I26=TRUE,0,0))))</f>
        <v>0</v>
      </c>
      <c r="N26" s="59">
        <f>(4-COUNTBLANK(D26:G26))-1</f>
        <v>3</v>
      </c>
      <c r="O26" s="59">
        <f>COUNTA(I26:L26)</f>
        <v>2</v>
      </c>
    </row>
    <row r="27" spans="1:15" ht="130.05000000000001" customHeight="1" x14ac:dyDescent="0.3">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0</v>
      </c>
      <c r="M27" s="59">
        <f>IF(L27=TRUE,3,IF(K27=TRUE,2,IF(J27=TRUE,1,IF(I27=TRUE,0,0))))</f>
        <v>0</v>
      </c>
      <c r="N27" s="59">
        <f>(4-COUNTBLANK(D27:G27))-1</f>
        <v>3</v>
      </c>
      <c r="O27" s="59">
        <f>COUNTA(I27:L27)</f>
        <v>3</v>
      </c>
    </row>
    <row r="29" spans="1:15" ht="28.5" customHeight="1" x14ac:dyDescent="0.5">
      <c r="B29" s="119" t="s">
        <v>159</v>
      </c>
      <c r="C29" s="120"/>
      <c r="D29" s="120"/>
      <c r="E29" s="120"/>
      <c r="F29" s="120"/>
      <c r="G29" s="120"/>
    </row>
    <row r="30" spans="1:15" ht="26.1" customHeight="1" x14ac:dyDescent="0.3">
      <c r="B30" s="66" t="s">
        <v>160</v>
      </c>
    </row>
    <row r="31" spans="1:15" x14ac:dyDescent="0.3">
      <c r="B31" s="68" t="s">
        <v>161</v>
      </c>
      <c r="C31" s="68" t="s">
        <v>162</v>
      </c>
      <c r="D31" s="93" t="s">
        <v>163</v>
      </c>
    </row>
    <row r="32" spans="1:15" x14ac:dyDescent="0.3">
      <c r="B32" s="69">
        <v>0</v>
      </c>
      <c r="C32" s="70">
        <f t="shared" ref="C32:C44" si="0">ROUNDUP(IF(B32&lt;$B$8,4.5/$B$8*B32+1,4.5/($B$4-$B$8)*(B32-$B$8)+5.5),1)</f>
        <v>1</v>
      </c>
      <c r="D32" s="62"/>
    </row>
    <row r="33" spans="2:4" x14ac:dyDescent="0.3">
      <c r="B33" s="69">
        <v>1</v>
      </c>
      <c r="C33" s="70">
        <f t="shared" si="0"/>
        <v>1.8</v>
      </c>
      <c r="D33" s="62" t="str">
        <f t="shared" ref="D33:D44" si="1">IF($B33=$B$5,"X","")</f>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
      </c>
    </row>
    <row r="41" spans="2:4" x14ac:dyDescent="0.3">
      <c r="B41" s="69">
        <v>9</v>
      </c>
      <c r="C41" s="70">
        <f t="shared" si="0"/>
        <v>7.8</v>
      </c>
      <c r="D41" s="62" t="str">
        <f t="shared" si="1"/>
        <v/>
      </c>
    </row>
    <row r="42" spans="2:4" x14ac:dyDescent="0.3">
      <c r="B42" s="69">
        <v>10</v>
      </c>
      <c r="C42" s="70">
        <f t="shared" si="0"/>
        <v>8.5</v>
      </c>
      <c r="D42" s="62" t="str">
        <f t="shared" si="1"/>
        <v/>
      </c>
    </row>
    <row r="43" spans="2:4" x14ac:dyDescent="0.3">
      <c r="B43" s="69">
        <v>11</v>
      </c>
      <c r="C43" s="70">
        <f t="shared" si="0"/>
        <v>9.2999999999999989</v>
      </c>
      <c r="D43" s="62" t="str">
        <f t="shared" si="1"/>
        <v/>
      </c>
    </row>
    <row r="44" spans="2:4" x14ac:dyDescent="0.3">
      <c r="B44" s="69">
        <v>12</v>
      </c>
      <c r="C44" s="70">
        <f t="shared" si="0"/>
        <v>10</v>
      </c>
      <c r="D44" s="62" t="str">
        <f t="shared" si="1"/>
        <v/>
      </c>
    </row>
    <row r="45" spans="2:4" hidden="1" x14ac:dyDescent="0.3">
      <c r="B45" s="69" t="str">
        <f>IF(D32="X","",IF(D33="X",C33,IF(D34="X",C34,IF(D35="X",C35,IF(D36="X",C36,IF(D37="X",C37,IF(D38="X",C38,IF(D39="X",C39,IF(D40="X",C40,IF(D41="X",C41,IF(D42="X",C42,IF(D43="X",C43,IF(D44="X",C44,"")))))))))))))</f>
        <v/>
      </c>
      <c r="C45" s="70"/>
      <c r="D45" s="62"/>
    </row>
    <row r="47" spans="2:4" ht="26.1" customHeight="1" x14ac:dyDescent="0.3">
      <c r="B47" s="66" t="s">
        <v>164</v>
      </c>
    </row>
    <row r="48" spans="2:4" x14ac:dyDescent="0.3">
      <c r="B48" t="s">
        <v>165</v>
      </c>
    </row>
    <row r="49" spans="2:7" ht="35.1" customHeight="1" x14ac:dyDescent="0.3">
      <c r="B49" s="121" t="s">
        <v>7</v>
      </c>
      <c r="C49" s="121"/>
      <c r="D49" s="121"/>
      <c r="E49" s="121"/>
      <c r="F49" s="121"/>
      <c r="G49" s="121"/>
    </row>
    <row r="50" spans="2:7" ht="300" customHeight="1" x14ac:dyDescent="0.3">
      <c r="B50" s="117"/>
      <c r="C50" s="117"/>
      <c r="D50" s="117"/>
      <c r="E50" s="117"/>
      <c r="F50" s="117"/>
      <c r="G50" s="117"/>
    </row>
    <row r="52" spans="2:7" ht="26.1" customHeight="1" x14ac:dyDescent="0.3">
      <c r="B52" s="66" t="s">
        <v>134</v>
      </c>
    </row>
    <row r="53" spans="2:7" x14ac:dyDescent="0.3">
      <c r="B53" s="71" t="s">
        <v>166</v>
      </c>
    </row>
    <row r="54" spans="2:7" x14ac:dyDescent="0.3">
      <c r="B54" t="s">
        <v>167</v>
      </c>
    </row>
    <row r="57" spans="2:7" x14ac:dyDescent="0.3">
      <c r="B57" t="s">
        <v>168</v>
      </c>
    </row>
    <row r="58" spans="2:7" ht="50.1" customHeight="1" x14ac:dyDescent="0.3">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9"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B1-K1-W2: Ontwerpt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
      </c>
      <c r="D19" s="10"/>
      <c r="E19" s="10"/>
      <c r="F19" s="10"/>
      <c r="G19" s="14"/>
    </row>
    <row r="20" spans="1:15" ht="23.25" customHeight="1" x14ac:dyDescent="0.3"/>
    <row r="21" spans="1:15" ht="24" customHeight="1" x14ac:dyDescent="0.3">
      <c r="B21" s="118" t="s">
        <v>169</v>
      </c>
      <c r="C21" s="118"/>
      <c r="D21" s="118"/>
      <c r="E21" s="118"/>
      <c r="F21" s="118"/>
      <c r="G21" s="118"/>
    </row>
    <row r="22" spans="1:15" hidden="1" x14ac:dyDescent="0.3">
      <c r="A22" t="s">
        <v>145</v>
      </c>
      <c r="B22" s="59">
        <v>2</v>
      </c>
      <c r="D22" s="8" t="s">
        <v>146</v>
      </c>
      <c r="E22" s="60" t="s">
        <v>170</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0</v>
      </c>
      <c r="M24" s="59">
        <f>IF(L24=TRUE,3,IF(K24=TRUE,2,IF(J24=TRUE,1,IF(I24=TRUE,0,0))))</f>
        <v>0</v>
      </c>
      <c r="N24" s="59">
        <f>(4-COUNTBLANK(D24:G24))-1</f>
        <v>3</v>
      </c>
      <c r="O24" s="59">
        <f>COUNTA(I24:L24)</f>
        <v>3</v>
      </c>
    </row>
    <row r="25" spans="1:15" ht="190.05" customHeight="1" x14ac:dyDescent="0.3">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0</v>
      </c>
      <c r="M25" s="59">
        <f>IF(L25=TRUE,3,IF(K25=TRUE,2,IF(J25=TRUE,1,IF(I25=TRUE,0,0))))</f>
        <v>0</v>
      </c>
      <c r="N25" s="59">
        <f>(4-COUNTBLANK(D25:G25))-1</f>
        <v>3</v>
      </c>
      <c r="O25" s="59">
        <f>COUNTA(I25:L25)</f>
        <v>3</v>
      </c>
    </row>
    <row r="26" spans="1:15" ht="175.05" customHeight="1" x14ac:dyDescent="0.3">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0</v>
      </c>
      <c r="L26" s="59"/>
      <c r="M26" s="59">
        <f>IF(L26=TRUE,3,IF(K26=TRUE,2,IF(J26=TRUE,1,IF(I26=TRUE,0,0))))</f>
        <v>0</v>
      </c>
      <c r="N26" s="59">
        <f>(4-COUNTBLANK(D26:G26))-1</f>
        <v>3</v>
      </c>
      <c r="O26" s="59">
        <f>COUNTA(I26:L26)</f>
        <v>2</v>
      </c>
    </row>
    <row r="27" spans="1:15" x14ac:dyDescent="0.3">
      <c r="B27" t="s">
        <v>174</v>
      </c>
    </row>
    <row r="28" spans="1:15" ht="28.5" customHeight="1" x14ac:dyDescent="0.5">
      <c r="B28" s="119" t="s">
        <v>175</v>
      </c>
      <c r="C28" s="120"/>
      <c r="D28" s="120"/>
      <c r="E28" s="120"/>
      <c r="F28" s="120"/>
      <c r="G28" s="120"/>
    </row>
    <row r="29" spans="1:15" ht="26.1" customHeight="1" x14ac:dyDescent="0.3">
      <c r="B29" s="66" t="s">
        <v>176</v>
      </c>
    </row>
    <row r="30" spans="1:15" hidden="1" x14ac:dyDescent="0.3">
      <c r="B30" t="s">
        <v>177</v>
      </c>
      <c r="C30" s="59">
        <f>COUNTIF($H:$H,ja)</f>
        <v>1</v>
      </c>
      <c r="D30" s="8" t="s">
        <v>178</v>
      </c>
      <c r="E30" s="60" t="b">
        <f>IF(COUNTIF(J30:J32,FALSE)=0,TRUE,FALSE)</f>
        <v>0</v>
      </c>
    </row>
    <row r="31" spans="1:15" x14ac:dyDescent="0.3">
      <c r="A31" t="s">
        <v>78</v>
      </c>
      <c r="B31" s="68" t="s">
        <v>179</v>
      </c>
      <c r="C31" s="68"/>
      <c r="D31" s="72" t="s">
        <v>180</v>
      </c>
      <c r="E31" s="73"/>
      <c r="H31" t="s">
        <v>181</v>
      </c>
      <c r="I31" t="s">
        <v>182</v>
      </c>
      <c r="J31" t="s">
        <v>183</v>
      </c>
    </row>
    <row r="32" spans="1:15" x14ac:dyDescent="0.3">
      <c r="A32" s="59" t="s">
        <v>171</v>
      </c>
      <c r="B32" t="str">
        <f>VLOOKUP($A32,Beheersingsniveaus!$D$3:$F$154,3,FALSE)</f>
        <v>Ontwerp</v>
      </c>
      <c r="D32" s="69" t="str">
        <f>CONCATENATE(IF(VLOOKUP(A32,A21:N27,13,FALSE)&gt;0,"Behaald","Niet behaald"))</f>
        <v>Niet behaald</v>
      </c>
      <c r="J32" s="59" t="b">
        <f>IF(VLOOKUP($A32,$A$21:$N$27,13,FALSE)&gt;0,TRUE,FALSE)</f>
        <v>0</v>
      </c>
    </row>
    <row r="34" spans="2:4" ht="26.1" customHeight="1" x14ac:dyDescent="0.3">
      <c r="B34" s="66" t="s">
        <v>160</v>
      </c>
    </row>
    <row r="35" spans="2:4" x14ac:dyDescent="0.3">
      <c r="B35" s="68" t="s">
        <v>161</v>
      </c>
      <c r="C35" s="68" t="s">
        <v>162</v>
      </c>
      <c r="D35" s="67" t="s">
        <v>163</v>
      </c>
    </row>
    <row r="36" spans="2:4" x14ac:dyDescent="0.3">
      <c r="B36" s="69">
        <v>0</v>
      </c>
      <c r="C36" s="70">
        <f t="shared" ref="C36:C45" si="0">ROUNDUP(IF(B36&lt;$B$8,4.5/$B$8*B36+1,4.5/($B$4-$B$8)*(B36-$B$8)+5.5),1)</f>
        <v>1</v>
      </c>
      <c r="D36" s="62" t="str">
        <f t="shared" ref="D36:D45" si="1">IF($B36=$B$5,"X","")</f>
        <v>X</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
      </c>
    </row>
    <row r="43" spans="2:4" x14ac:dyDescent="0.3">
      <c r="B43" s="69">
        <v>7</v>
      </c>
      <c r="C43" s="70">
        <f t="shared" si="0"/>
        <v>8</v>
      </c>
      <c r="D43" s="62" t="str">
        <f t="shared" si="1"/>
        <v/>
      </c>
    </row>
    <row r="44" spans="2:4" x14ac:dyDescent="0.3">
      <c r="B44" s="69">
        <v>8</v>
      </c>
      <c r="C44" s="70">
        <f t="shared" si="0"/>
        <v>9</v>
      </c>
      <c r="D44" s="62" t="str">
        <f t="shared" si="1"/>
        <v/>
      </c>
    </row>
    <row r="45" spans="2:4" x14ac:dyDescent="0.3">
      <c r="B45" s="69">
        <v>9</v>
      </c>
      <c r="C45" s="70">
        <f t="shared" si="0"/>
        <v>10</v>
      </c>
      <c r="D45" s="62" t="str">
        <f t="shared" si="1"/>
        <v/>
      </c>
    </row>
    <row r="46" spans="2:4" hidden="1" x14ac:dyDescent="0.3">
      <c r="B46" s="69" t="str">
        <f>IF(D36="X","",IF(D36="X",C36,IF(D37="X",C37,IF(D38="X",C38,IF(D39="X",C39,IF(D40="X",C40,IF(D41="X",C41,IF(D42="X",C42,IF(D43="X",C43,IF(D44="X",C44,IF(D45="X",C45,"")))))))))))</f>
        <v/>
      </c>
      <c r="C46" s="70"/>
      <c r="D46" s="62"/>
    </row>
    <row r="48" spans="2:4" ht="26.1" customHeight="1" x14ac:dyDescent="0.3">
      <c r="B48" s="66" t="s">
        <v>164</v>
      </c>
    </row>
    <row r="49" spans="2:7" x14ac:dyDescent="0.3">
      <c r="B49" t="s">
        <v>165</v>
      </c>
    </row>
    <row r="50" spans="2:7" ht="35.1" customHeight="1" x14ac:dyDescent="0.3">
      <c r="B50" s="121" t="s">
        <v>7</v>
      </c>
      <c r="C50" s="121"/>
      <c r="D50" s="121"/>
      <c r="E50" s="121"/>
      <c r="F50" s="121"/>
      <c r="G50" s="121"/>
    </row>
    <row r="51" spans="2:7" ht="300" customHeight="1" x14ac:dyDescent="0.3">
      <c r="B51" s="117"/>
      <c r="C51" s="117"/>
      <c r="D51" s="117"/>
      <c r="E51" s="117"/>
      <c r="F51" s="117"/>
      <c r="G51" s="117"/>
    </row>
    <row r="53" spans="2:7" ht="26.1" customHeight="1" x14ac:dyDescent="0.3">
      <c r="B53" s="66" t="s">
        <v>134</v>
      </c>
    </row>
    <row r="54" spans="2:7" x14ac:dyDescent="0.3">
      <c r="B54" s="71" t="s">
        <v>166</v>
      </c>
    </row>
    <row r="55" spans="2:7" x14ac:dyDescent="0.3">
      <c r="B55" t="s">
        <v>167</v>
      </c>
    </row>
    <row r="58" spans="2:7" x14ac:dyDescent="0.3">
      <c r="B58" t="s">
        <v>168</v>
      </c>
    </row>
    <row r="59" spans="2:7" ht="50.1" customHeight="1" x14ac:dyDescent="0.3">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9"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18</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B1-K1-W3: Realiseert (onderdelen van)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
      </c>
      <c r="D19" s="10"/>
      <c r="E19" s="10"/>
      <c r="F19" s="10"/>
      <c r="G19" s="14"/>
    </row>
    <row r="20" spans="1:15" ht="23.25" customHeight="1" x14ac:dyDescent="0.3"/>
    <row r="21" spans="1:15" ht="24" customHeight="1" x14ac:dyDescent="0.3">
      <c r="B21" s="118" t="s">
        <v>184</v>
      </c>
      <c r="C21" s="118"/>
      <c r="D21" s="118"/>
      <c r="E21" s="118"/>
      <c r="F21" s="118"/>
      <c r="G21" s="118"/>
    </row>
    <row r="22" spans="1:15" hidden="1" x14ac:dyDescent="0.3">
      <c r="A22" t="s">
        <v>145</v>
      </c>
      <c r="B22" s="59">
        <v>3</v>
      </c>
      <c r="D22" s="8" t="s">
        <v>146</v>
      </c>
      <c r="E22" s="60" t="s">
        <v>185</v>
      </c>
      <c r="G22" s="8" t="s">
        <v>148</v>
      </c>
      <c r="H22" s="59">
        <f>COUNTIF(Beheersingsniveaus!$C$4:$C$154,$E22)</f>
        <v>6</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0</v>
      </c>
      <c r="M24" s="59">
        <f t="shared" ref="M24:M29" si="0">IF(L24=TRUE,3,IF(K24=TRUE,2,IF(J24=TRUE,1,IF(I24=TRUE,0,0))))</f>
        <v>0</v>
      </c>
      <c r="N24" s="59">
        <f t="shared" ref="N24:N29" si="1">(4-COUNTBLANK(D24:G24))-1</f>
        <v>3</v>
      </c>
      <c r="O24" s="59">
        <f t="shared" ref="O24:O29" si="2">COUNTA(I24:L24)</f>
        <v>3</v>
      </c>
    </row>
    <row r="25" spans="1:15" ht="145.05000000000001" customHeight="1" x14ac:dyDescent="0.3">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c r="M25" s="59">
        <f t="shared" si="0"/>
        <v>0</v>
      </c>
      <c r="N25" s="59">
        <f t="shared" si="1"/>
        <v>3</v>
      </c>
      <c r="O25" s="59">
        <f t="shared" si="2"/>
        <v>2</v>
      </c>
    </row>
    <row r="26" spans="1:15" ht="190.05" customHeight="1" x14ac:dyDescent="0.3">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0</v>
      </c>
      <c r="L26" s="59" t="b">
        <v>0</v>
      </c>
      <c r="M26" s="59">
        <f t="shared" si="0"/>
        <v>0</v>
      </c>
      <c r="N26" s="59">
        <f t="shared" si="1"/>
        <v>3</v>
      </c>
      <c r="O26" s="59">
        <f t="shared" si="2"/>
        <v>3</v>
      </c>
    </row>
    <row r="27" spans="1:15" ht="85.05" customHeight="1" x14ac:dyDescent="0.3">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0</v>
      </c>
      <c r="L27" s="59"/>
      <c r="M27" s="59">
        <f t="shared" si="0"/>
        <v>0</v>
      </c>
      <c r="N27" s="59">
        <f t="shared" si="1"/>
        <v>3</v>
      </c>
      <c r="O27" s="59">
        <f t="shared" si="2"/>
        <v>2</v>
      </c>
    </row>
    <row r="28" spans="1:15" ht="115.05" customHeight="1" x14ac:dyDescent="0.3">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0</v>
      </c>
      <c r="L28" s="59" t="b">
        <v>0</v>
      </c>
      <c r="M28" s="59">
        <f t="shared" si="0"/>
        <v>0</v>
      </c>
      <c r="N28" s="59">
        <f t="shared" si="1"/>
        <v>3</v>
      </c>
      <c r="O28" s="59">
        <f t="shared" si="2"/>
        <v>3</v>
      </c>
    </row>
    <row r="29" spans="1:15" ht="70.05" customHeight="1" x14ac:dyDescent="0.3">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0</v>
      </c>
      <c r="L29" s="59"/>
      <c r="M29" s="59">
        <f t="shared" si="0"/>
        <v>0</v>
      </c>
      <c r="N29" s="59">
        <f t="shared" si="1"/>
        <v>3</v>
      </c>
      <c r="O29" s="59">
        <f t="shared" si="2"/>
        <v>2</v>
      </c>
    </row>
    <row r="30" spans="1:15" x14ac:dyDescent="0.3">
      <c r="B30" t="s">
        <v>174</v>
      </c>
    </row>
    <row r="31" spans="1:15" ht="28.5" customHeight="1" x14ac:dyDescent="0.5">
      <c r="B31" s="119" t="s">
        <v>192</v>
      </c>
      <c r="C31" s="120"/>
      <c r="D31" s="120"/>
      <c r="E31" s="120"/>
      <c r="F31" s="120"/>
      <c r="G31" s="120"/>
    </row>
    <row r="32" spans="1:15" ht="26.1" customHeight="1" x14ac:dyDescent="0.3">
      <c r="B32" s="66" t="s">
        <v>176</v>
      </c>
    </row>
    <row r="33" spans="1:10" hidden="1" x14ac:dyDescent="0.3">
      <c r="B33" t="s">
        <v>177</v>
      </c>
      <c r="C33" s="59">
        <f>COUNTIF($H:$H,ja)</f>
        <v>2</v>
      </c>
      <c r="D33" s="8" t="s">
        <v>178</v>
      </c>
      <c r="E33" s="60" t="b">
        <f>IF(COUNTIF(J33:J36,FALSE)=0,TRUE,FALSE)</f>
        <v>0</v>
      </c>
    </row>
    <row r="34" spans="1:10" x14ac:dyDescent="0.3">
      <c r="A34" t="s">
        <v>78</v>
      </c>
      <c r="B34" s="68" t="s">
        <v>179</v>
      </c>
      <c r="C34" s="68"/>
      <c r="D34" s="72" t="s">
        <v>180</v>
      </c>
      <c r="E34" s="73"/>
      <c r="H34" t="s">
        <v>181</v>
      </c>
      <c r="I34" t="s">
        <v>182</v>
      </c>
      <c r="J34" t="s">
        <v>183</v>
      </c>
    </row>
    <row r="35" spans="1:10" x14ac:dyDescent="0.3">
      <c r="A35" s="59" t="s">
        <v>186</v>
      </c>
      <c r="B35" t="str">
        <f>VLOOKUP($A35,Beheersingsniveaus!$D$3:$F$154,3,FALSE)</f>
        <v>Gerealiseerde user stories</v>
      </c>
      <c r="D35" s="74" t="s">
        <v>1</v>
      </c>
      <c r="E35" s="74" t="s">
        <v>2</v>
      </c>
      <c r="H35" s="59" t="b">
        <f>J35</f>
        <v>0</v>
      </c>
      <c r="I35" s="59" t="b">
        <v>0</v>
      </c>
      <c r="J35" s="59" t="b">
        <f>IF(VLOOKUP($A35,$A$21:$N$30,13,FALSE)&gt;0,TRUE,FALSE)</f>
        <v>0</v>
      </c>
    </row>
    <row r="36" spans="1:10" x14ac:dyDescent="0.3">
      <c r="A36" s="59" t="s">
        <v>188</v>
      </c>
      <c r="B36" t="str">
        <f>VLOOKUP($A36,Beheersingsniveaus!$D$3:$F$154,3,FALSE)</f>
        <v>Kwaliteit code</v>
      </c>
      <c r="D36" s="74" t="s">
        <v>1</v>
      </c>
      <c r="E36" s="74" t="s">
        <v>2</v>
      </c>
      <c r="H36" s="59" t="b">
        <f>J36</f>
        <v>0</v>
      </c>
      <c r="I36" s="59" t="b">
        <v>0</v>
      </c>
      <c r="J36" s="59" t="b">
        <f>IF(VLOOKUP($A36,$A$21:$N$30,13,FALSE)&gt;0,TRUE,FALSE)</f>
        <v>0</v>
      </c>
    </row>
    <row r="39" spans="1:10" x14ac:dyDescent="0.3">
      <c r="B39" t="s">
        <v>193</v>
      </c>
    </row>
    <row r="40" spans="1:10" x14ac:dyDescent="0.3">
      <c r="B40" s="75" t="s">
        <v>1</v>
      </c>
      <c r="C40" t="s">
        <v>194</v>
      </c>
      <c r="H40" s="59" t="b">
        <f>E33</f>
        <v>0</v>
      </c>
    </row>
    <row r="41" spans="1:10" x14ac:dyDescent="0.3">
      <c r="B41" s="75" t="s">
        <v>2</v>
      </c>
      <c r="C41" t="s">
        <v>195</v>
      </c>
      <c r="H41" s="59" t="b">
        <v>0</v>
      </c>
    </row>
    <row r="43" spans="1:10" ht="26.1" customHeight="1" x14ac:dyDescent="0.3">
      <c r="B43" s="66" t="s">
        <v>160</v>
      </c>
    </row>
    <row r="44" spans="1:10" x14ac:dyDescent="0.3">
      <c r="B44" s="68" t="s">
        <v>161</v>
      </c>
      <c r="C44" s="68" t="s">
        <v>162</v>
      </c>
      <c r="D44" s="67" t="s">
        <v>163</v>
      </c>
    </row>
    <row r="45" spans="1:10" x14ac:dyDescent="0.3">
      <c r="B45" s="69">
        <v>0</v>
      </c>
      <c r="C45" s="70">
        <f t="shared" ref="C45:C63" si="3">ROUNDUP(IF(B45&lt;$B$8,4.5/$B$8*B45+1,4.5/($B$4-$B$8)*(B45-$B$8)+5.5),1)</f>
        <v>1</v>
      </c>
      <c r="D45" s="62" t="str">
        <f t="shared" ref="D45:D63" si="4">IF($B45=$B$5,"X","")</f>
        <v>X</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
      </c>
    </row>
    <row r="64" spans="2:4" hidden="1" x14ac:dyDescent="0.3">
      <c r="B64" s="69" t="str">
        <f>IF(D45="X","",IF(D46="X",C46,IF(D47="X",C47,IF(D48="X",C48,IF(D49="X",C49,IF(D50="X",C50,IF(D51="X",C51,IF(D52="X",C52,IF(D53="X",C53,IF(D54="X",C54,IF(D55="X",C55,IF(D56="X",C56,IF(D57="X",C57,IF(D58="X",C58,IF(D59="X",C59,IF(D60="X",C60,IF(D61="X",C61,IF(D62="X",C62,IF(D63="X",C63,"")))))))))))))))))))</f>
        <v/>
      </c>
      <c r="C64" s="70"/>
      <c r="D64" s="62"/>
    </row>
    <row r="66" spans="2:7" ht="26.1" customHeight="1" x14ac:dyDescent="0.3">
      <c r="B66" s="66" t="s">
        <v>164</v>
      </c>
    </row>
    <row r="67" spans="2:7" x14ac:dyDescent="0.3">
      <c r="B67" t="s">
        <v>165</v>
      </c>
    </row>
    <row r="68" spans="2:7" ht="35.1" customHeight="1" x14ac:dyDescent="0.3">
      <c r="B68" s="121" t="s">
        <v>7</v>
      </c>
      <c r="C68" s="121"/>
      <c r="D68" s="121"/>
      <c r="E68" s="121"/>
      <c r="F68" s="121"/>
      <c r="G68" s="121"/>
    </row>
    <row r="69" spans="2:7" ht="300" customHeight="1" x14ac:dyDescent="0.3">
      <c r="B69" s="117"/>
      <c r="C69" s="117"/>
      <c r="D69" s="117"/>
      <c r="E69" s="117"/>
      <c r="F69" s="117"/>
      <c r="G69" s="117"/>
    </row>
    <row r="71" spans="2:7" ht="26.1" customHeight="1" x14ac:dyDescent="0.3">
      <c r="B71" s="66" t="s">
        <v>134</v>
      </c>
    </row>
    <row r="72" spans="2:7" x14ac:dyDescent="0.3">
      <c r="B72" s="71" t="s">
        <v>166</v>
      </c>
    </row>
    <row r="73" spans="2:7" x14ac:dyDescent="0.3">
      <c r="B73" t="s">
        <v>167</v>
      </c>
    </row>
    <row r="76" spans="2:7" x14ac:dyDescent="0.3">
      <c r="B76" t="s">
        <v>168</v>
      </c>
    </row>
    <row r="77" spans="2:7" ht="50.1" customHeight="1" x14ac:dyDescent="0.3">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9"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4</v>
      </c>
    </row>
    <row r="3" spans="1:7" hidden="1" x14ac:dyDescent="0.3">
      <c r="A3" t="s">
        <v>29</v>
      </c>
      <c r="B3" s="6">
        <f>VLOOKUP(B1,KerntakenEnWerkprocessen!B13:E27,4,FALSE)</f>
        <v>4</v>
      </c>
    </row>
    <row r="4" spans="1:7" hidden="1" x14ac:dyDescent="0.3">
      <c r="A4" t="s">
        <v>30</v>
      </c>
      <c r="B4" s="6">
        <f>SUM(N:N)</f>
        <v>9</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B1-K1-W4: Test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
      </c>
      <c r="D19" s="10"/>
      <c r="E19" s="10"/>
      <c r="F19" s="10"/>
      <c r="G19" s="14"/>
    </row>
    <row r="20" spans="1:15" ht="23.25" customHeight="1" x14ac:dyDescent="0.3"/>
    <row r="21" spans="1:15" ht="24" customHeight="1" x14ac:dyDescent="0.3">
      <c r="B21" s="118" t="s">
        <v>196</v>
      </c>
      <c r="C21" s="118"/>
      <c r="D21" s="118"/>
      <c r="E21" s="118"/>
      <c r="F21" s="118"/>
      <c r="G21" s="118"/>
    </row>
    <row r="22" spans="1:15" hidden="1" x14ac:dyDescent="0.3">
      <c r="A22" t="s">
        <v>145</v>
      </c>
      <c r="B22" s="59">
        <v>4</v>
      </c>
      <c r="D22" s="8" t="s">
        <v>146</v>
      </c>
      <c r="E22" s="60" t="s">
        <v>197</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0</v>
      </c>
      <c r="M24" s="59">
        <f>IF(L24=TRUE,3,IF(K24=TRUE,2,IF(J24=TRUE,1,IF(I24=TRUE,0,0))))</f>
        <v>0</v>
      </c>
      <c r="N24" s="59">
        <f>(4-COUNTBLANK(D24:G24))-1</f>
        <v>3</v>
      </c>
      <c r="O24" s="59">
        <f>COUNTA(I24:L24)</f>
        <v>3</v>
      </c>
    </row>
    <row r="25" spans="1:15" ht="160.05000000000001" customHeight="1" x14ac:dyDescent="0.3">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0</v>
      </c>
      <c r="L25" s="59" t="b">
        <v>0</v>
      </c>
      <c r="M25" s="59">
        <f>IF(L25=TRUE,3,IF(K25=TRUE,2,IF(J25=TRUE,1,IF(I25=TRUE,0,0))))</f>
        <v>0</v>
      </c>
      <c r="N25" s="59">
        <f>(4-COUNTBLANK(D25:G25))-1</f>
        <v>3</v>
      </c>
      <c r="O25" s="59">
        <f>COUNTA(I25:L25)</f>
        <v>3</v>
      </c>
    </row>
    <row r="26" spans="1:15" ht="100.05" customHeight="1" x14ac:dyDescent="0.3">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0</v>
      </c>
      <c r="K26" s="59" t="b">
        <v>0</v>
      </c>
      <c r="L26" s="59" t="b">
        <v>0</v>
      </c>
      <c r="M26" s="59">
        <f>IF(L26=TRUE,3,IF(K26=TRUE,2,IF(J26=TRUE,1,IF(I26=TRUE,0,0))))</f>
        <v>0</v>
      </c>
      <c r="N26" s="59">
        <f>(4-COUNTBLANK(D26:G26))-1</f>
        <v>3</v>
      </c>
      <c r="O26" s="59">
        <f>COUNTA(I26:L26)</f>
        <v>4</v>
      </c>
    </row>
    <row r="28" spans="1:15" ht="28.5" customHeight="1" x14ac:dyDescent="0.5">
      <c r="B28" s="119" t="s">
        <v>201</v>
      </c>
      <c r="C28" s="120"/>
      <c r="D28" s="120"/>
      <c r="E28" s="120"/>
      <c r="F28" s="120"/>
      <c r="G28" s="120"/>
    </row>
    <row r="29" spans="1:15" ht="26.1" customHeight="1" x14ac:dyDescent="0.3">
      <c r="B29" s="66" t="s">
        <v>160</v>
      </c>
    </row>
    <row r="30" spans="1:15" x14ac:dyDescent="0.3">
      <c r="B30" s="68" t="s">
        <v>161</v>
      </c>
      <c r="C30" s="68" t="s">
        <v>162</v>
      </c>
      <c r="D30" s="93" t="s">
        <v>163</v>
      </c>
    </row>
    <row r="31" spans="1:15" x14ac:dyDescent="0.3">
      <c r="B31" s="69">
        <v>0</v>
      </c>
      <c r="C31" s="70">
        <f t="shared" ref="C31:C40" si="0">ROUNDUP(IF(B31&lt;$B$8,4.5/$B$8*B31+1,4.5/($B$4-$B$8)*(B31-$B$8)+5.5),1)</f>
        <v>1</v>
      </c>
      <c r="D31" s="62"/>
    </row>
    <row r="32" spans="1:15" x14ac:dyDescent="0.3">
      <c r="B32" s="69">
        <v>1</v>
      </c>
      <c r="C32" s="70">
        <f t="shared" si="0"/>
        <v>2</v>
      </c>
      <c r="D32" s="62" t="str">
        <f t="shared" ref="D32:D40" si="1">IF($B32=$B$5,"X","")</f>
        <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
      </c>
    </row>
    <row r="38" spans="2:7" x14ac:dyDescent="0.3">
      <c r="B38" s="69">
        <v>7</v>
      </c>
      <c r="C38" s="70">
        <f t="shared" si="0"/>
        <v>8</v>
      </c>
      <c r="D38" s="62" t="str">
        <f t="shared" si="1"/>
        <v/>
      </c>
    </row>
    <row r="39" spans="2:7" x14ac:dyDescent="0.3">
      <c r="B39" s="69">
        <v>8</v>
      </c>
      <c r="C39" s="70">
        <f t="shared" si="0"/>
        <v>9</v>
      </c>
      <c r="D39" s="62" t="str">
        <f t="shared" si="1"/>
        <v/>
      </c>
    </row>
    <row r="40" spans="2:7" x14ac:dyDescent="0.3">
      <c r="B40" s="69">
        <v>9</v>
      </c>
      <c r="C40" s="70">
        <f t="shared" si="0"/>
        <v>10</v>
      </c>
      <c r="D40" s="62" t="str">
        <f t="shared" si="1"/>
        <v/>
      </c>
    </row>
    <row r="41" spans="2:7" hidden="1" x14ac:dyDescent="0.3">
      <c r="B41" s="69" t="str">
        <f>IF(D31="X","",IF(D32="X",C32,IF(D33="X",C33,IF(D34="X",C34,IF(D35="X",C35,IF(D36="X",C36,IF(D37="X",C37,IF(D38="X",C38,IF(D39="X",C39,IF(D40="X",C40,""))))))))))</f>
        <v/>
      </c>
      <c r="C41" s="70"/>
      <c r="D41" s="62"/>
    </row>
    <row r="43" spans="2:7" ht="26.1" customHeight="1" x14ac:dyDescent="0.3">
      <c r="B43" s="66" t="s">
        <v>164</v>
      </c>
    </row>
    <row r="44" spans="2:7" x14ac:dyDescent="0.3">
      <c r="B44" t="s">
        <v>165</v>
      </c>
    </row>
    <row r="45" spans="2:7" ht="35.1" customHeight="1" x14ac:dyDescent="0.3">
      <c r="B45" s="121" t="s">
        <v>7</v>
      </c>
      <c r="C45" s="121"/>
      <c r="D45" s="121"/>
      <c r="E45" s="121"/>
      <c r="F45" s="121"/>
      <c r="G45" s="121"/>
    </row>
    <row r="46" spans="2:7" ht="300" customHeight="1" x14ac:dyDescent="0.3">
      <c r="B46" s="117"/>
      <c r="C46" s="117"/>
      <c r="D46" s="117"/>
      <c r="E46" s="117"/>
      <c r="F46" s="117"/>
      <c r="G46" s="117"/>
    </row>
    <row r="48" spans="2:7" ht="26.1" customHeight="1" x14ac:dyDescent="0.3">
      <c r="B48" s="66" t="s">
        <v>134</v>
      </c>
    </row>
    <row r="49" spans="2:7" x14ac:dyDescent="0.3">
      <c r="B49" s="71" t="s">
        <v>166</v>
      </c>
    </row>
    <row r="50" spans="2:7" x14ac:dyDescent="0.3">
      <c r="B50" t="s">
        <v>167</v>
      </c>
    </row>
    <row r="53" spans="2:7" x14ac:dyDescent="0.3">
      <c r="B53" t="s">
        <v>168</v>
      </c>
    </row>
    <row r="54" spans="2:7" ht="50.1" customHeight="1" x14ac:dyDescent="0.3">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opLeftCell="B9"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5</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0</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B1-K1-W5: Doet verbetervoorstellen voor de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
      </c>
      <c r="D19" s="10"/>
      <c r="E19" s="10"/>
      <c r="F19" s="10"/>
      <c r="G19" s="14"/>
    </row>
    <row r="20" spans="1:15" ht="23.25" customHeight="1" x14ac:dyDescent="0.3"/>
    <row r="21" spans="1:15" ht="24" customHeight="1" x14ac:dyDescent="0.3">
      <c r="B21" s="118" t="s">
        <v>202</v>
      </c>
      <c r="C21" s="118"/>
      <c r="D21" s="118"/>
      <c r="E21" s="118"/>
      <c r="F21" s="118"/>
      <c r="G21" s="118"/>
    </row>
    <row r="22" spans="1:15" hidden="1" x14ac:dyDescent="0.3">
      <c r="A22" t="s">
        <v>145</v>
      </c>
      <c r="B22" s="59">
        <v>5</v>
      </c>
      <c r="D22" s="8" t="s">
        <v>146</v>
      </c>
      <c r="E22" s="60" t="s">
        <v>203</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0</v>
      </c>
      <c r="M24" s="59">
        <f>IF(L24=TRUE,3,IF(K24=TRUE,2,IF(J24=TRUE,1,IF(I24=TRUE,0,0))))</f>
        <v>0</v>
      </c>
      <c r="N24" s="59">
        <f>(4-COUNTBLANK(D24:G24))-1</f>
        <v>3</v>
      </c>
      <c r="O24" s="59">
        <f>COUNTA(I24:L24)</f>
        <v>3</v>
      </c>
    </row>
    <row r="25" spans="1:15" ht="100.05" customHeight="1" x14ac:dyDescent="0.3">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0</v>
      </c>
      <c r="L25" s="59" t="b">
        <v>0</v>
      </c>
      <c r="M25" s="59">
        <f>IF(L25=TRUE,3,IF(K25=TRUE,2,IF(J25=TRUE,1,IF(I25=TRUE,0,0))))</f>
        <v>0</v>
      </c>
      <c r="N25" s="59">
        <f>(4-COUNTBLANK(D25:G25))-1</f>
        <v>3</v>
      </c>
      <c r="O25" s="59">
        <f>COUNTA(I25:L25)</f>
        <v>2</v>
      </c>
    </row>
    <row r="26" spans="1:15" ht="100.05" customHeight="1" x14ac:dyDescent="0.3">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0</v>
      </c>
      <c r="L26" s="59"/>
      <c r="M26" s="59">
        <f>IF(L26=TRUE,3,IF(K26=TRUE,2,IF(J26=TRUE,1,IF(I26=TRUE,0,0))))</f>
        <v>0</v>
      </c>
      <c r="N26" s="59">
        <f>(4-COUNTBLANK(D26:G26))-1</f>
        <v>3</v>
      </c>
      <c r="O26" s="59">
        <f>COUNTA(I26:L26)</f>
        <v>1</v>
      </c>
    </row>
    <row r="28" spans="1:15" ht="24" customHeight="1" x14ac:dyDescent="0.3">
      <c r="B28" s="118" t="s">
        <v>207</v>
      </c>
      <c r="C28" s="118"/>
      <c r="D28" s="118"/>
      <c r="E28" s="118"/>
      <c r="F28" s="118"/>
      <c r="G28" s="118"/>
    </row>
    <row r="29" spans="1:15" hidden="1" x14ac:dyDescent="0.3">
      <c r="A29" t="s">
        <v>145</v>
      </c>
      <c r="B29" s="59">
        <v>6</v>
      </c>
      <c r="D29" s="8" t="s">
        <v>146</v>
      </c>
      <c r="E29" s="60" t="s">
        <v>208</v>
      </c>
      <c r="G29" s="8" t="s">
        <v>148</v>
      </c>
      <c r="H29" s="59">
        <f>COUNTIF(Beheersingsniveaus!$C$4:$C$154,$E29)</f>
        <v>1</v>
      </c>
    </row>
    <row r="30" spans="1:15" x14ac:dyDescent="0.3">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05" customHeight="1" x14ac:dyDescent="0.3">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0</v>
      </c>
      <c r="K31" s="59"/>
      <c r="L31" s="59"/>
      <c r="M31" s="59">
        <f>IF(L31=TRUE,3,IF(K31=TRUE,2,IF(J31=TRUE,1,IF(I31=TRUE,0,0))))</f>
        <v>0</v>
      </c>
      <c r="N31" s="59">
        <f>(4-COUNTBLANK(D31:G31))-1</f>
        <v>1</v>
      </c>
      <c r="O31" s="59">
        <f>COUNTA(I31:L31)</f>
        <v>2</v>
      </c>
    </row>
    <row r="32" spans="1:15" x14ac:dyDescent="0.3">
      <c r="B32" t="s">
        <v>174</v>
      </c>
    </row>
    <row r="33" spans="1:10" ht="28.5" customHeight="1" x14ac:dyDescent="0.5">
      <c r="B33" s="119" t="s">
        <v>210</v>
      </c>
      <c r="C33" s="120"/>
      <c r="D33" s="120"/>
      <c r="E33" s="120"/>
      <c r="F33" s="120"/>
      <c r="G33" s="120"/>
    </row>
    <row r="34" spans="1:10" ht="26.1" customHeight="1" x14ac:dyDescent="0.3">
      <c r="B34" s="66" t="s">
        <v>176</v>
      </c>
    </row>
    <row r="35" spans="1:10" hidden="1" x14ac:dyDescent="0.3">
      <c r="B35" t="s">
        <v>177</v>
      </c>
      <c r="C35" s="59">
        <f>COUNTIF($H:$H,ja)</f>
        <v>1</v>
      </c>
      <c r="D35" s="8" t="s">
        <v>178</v>
      </c>
      <c r="E35" s="60" t="b">
        <f>IF(COUNTIF(J35:J37,FALSE)=0,TRUE,FALSE)</f>
        <v>0</v>
      </c>
    </row>
    <row r="36" spans="1:10" x14ac:dyDescent="0.3">
      <c r="A36" t="s">
        <v>78</v>
      </c>
      <c r="B36" s="68" t="s">
        <v>179</v>
      </c>
      <c r="C36" s="68"/>
      <c r="D36" s="72" t="s">
        <v>180</v>
      </c>
      <c r="E36" s="73"/>
      <c r="H36" t="s">
        <v>181</v>
      </c>
      <c r="I36" t="s">
        <v>182</v>
      </c>
      <c r="J36" t="s">
        <v>183</v>
      </c>
    </row>
    <row r="37" spans="1:10" x14ac:dyDescent="0.3">
      <c r="A37" s="59" t="s">
        <v>209</v>
      </c>
      <c r="B37" t="str">
        <f>VLOOKUP($A37,Beheersingsniveaus!$D$3:$F$154,3,FALSE)</f>
        <v>Authenticiteit</v>
      </c>
      <c r="D37" s="69" t="str">
        <f>CONCATENATE(IF(VLOOKUP(A37,A21:N32,13,FALSE)&gt;0,"Behaald","Niet behaald"))</f>
        <v>Niet behaald</v>
      </c>
      <c r="J37" s="59" t="b">
        <f>IF(VLOOKUP($A37,$A$21:$N$32,13,FALSE)&gt;0,TRUE,FALSE)</f>
        <v>0</v>
      </c>
    </row>
    <row r="39" spans="1:10" ht="26.1" customHeight="1" x14ac:dyDescent="0.3">
      <c r="B39" s="66" t="s">
        <v>160</v>
      </c>
    </row>
    <row r="40" spans="1:10" x14ac:dyDescent="0.3">
      <c r="B40" s="68" t="s">
        <v>161</v>
      </c>
      <c r="C40" s="68" t="s">
        <v>162</v>
      </c>
      <c r="D40" s="67" t="s">
        <v>163</v>
      </c>
    </row>
    <row r="41" spans="1:10" x14ac:dyDescent="0.3">
      <c r="B41" s="69">
        <v>0</v>
      </c>
      <c r="C41" s="70">
        <f t="shared" ref="C41:C51" si="0">ROUNDUP(IF(B41&lt;$B$8,4.5/$B$8*B41+1,4.5/($B$4-$B$8)*(B41-$B$8)+5.5),1)</f>
        <v>1</v>
      </c>
      <c r="D41" s="62" t="str">
        <f t="shared" ref="D41:D51" si="1">IF($B41=$B$5,"X","")</f>
        <v>X</v>
      </c>
    </row>
    <row r="42" spans="1:10" x14ac:dyDescent="0.3">
      <c r="B42" s="69">
        <v>1</v>
      </c>
      <c r="C42" s="70">
        <f t="shared" si="0"/>
        <v>1.9</v>
      </c>
      <c r="D42" s="62" t="str">
        <f t="shared" si="1"/>
        <v/>
      </c>
    </row>
    <row r="43" spans="1:10" x14ac:dyDescent="0.3">
      <c r="B43" s="69">
        <v>2</v>
      </c>
      <c r="C43" s="70">
        <f t="shared" si="0"/>
        <v>2.8</v>
      </c>
      <c r="D43" s="62" t="str">
        <f t="shared" si="1"/>
        <v/>
      </c>
    </row>
    <row r="44" spans="1:10" x14ac:dyDescent="0.3">
      <c r="B44" s="69">
        <v>3</v>
      </c>
      <c r="C44" s="70">
        <f t="shared" si="0"/>
        <v>3.7</v>
      </c>
      <c r="D44" s="62" t="str">
        <f t="shared" si="1"/>
        <v/>
      </c>
    </row>
    <row r="45" spans="1:10" x14ac:dyDescent="0.3">
      <c r="B45" s="69">
        <v>4</v>
      </c>
      <c r="C45" s="70">
        <f t="shared" si="0"/>
        <v>4.5999999999999996</v>
      </c>
      <c r="D45" s="62" t="str">
        <f t="shared" si="1"/>
        <v/>
      </c>
    </row>
    <row r="46" spans="1:10" x14ac:dyDescent="0.3">
      <c r="B46" s="69">
        <v>5</v>
      </c>
      <c r="C46" s="70">
        <f t="shared" si="0"/>
        <v>5.5</v>
      </c>
      <c r="D46" s="62" t="str">
        <f t="shared" si="1"/>
        <v/>
      </c>
    </row>
    <row r="47" spans="1:10" x14ac:dyDescent="0.3">
      <c r="B47" s="69">
        <v>6</v>
      </c>
      <c r="C47" s="70">
        <f t="shared" si="0"/>
        <v>6.4</v>
      </c>
      <c r="D47" s="62" t="str">
        <f t="shared" si="1"/>
        <v/>
      </c>
    </row>
    <row r="48" spans="1:10" x14ac:dyDescent="0.3">
      <c r="B48" s="69">
        <v>7</v>
      </c>
      <c r="C48" s="70">
        <f t="shared" si="0"/>
        <v>7.3</v>
      </c>
      <c r="D48" s="62" t="str">
        <f t="shared" si="1"/>
        <v/>
      </c>
    </row>
    <row r="49" spans="2:7" x14ac:dyDescent="0.3">
      <c r="B49" s="69">
        <v>8</v>
      </c>
      <c r="C49" s="70">
        <f t="shared" si="0"/>
        <v>8.1999999999999993</v>
      </c>
      <c r="D49" s="62" t="str">
        <f t="shared" si="1"/>
        <v/>
      </c>
    </row>
    <row r="50" spans="2:7" x14ac:dyDescent="0.3">
      <c r="B50" s="69">
        <v>9</v>
      </c>
      <c r="C50" s="70">
        <f t="shared" si="0"/>
        <v>9.1</v>
      </c>
      <c r="D50" s="62" t="str">
        <f t="shared" si="1"/>
        <v/>
      </c>
    </row>
    <row r="51" spans="2:7" x14ac:dyDescent="0.3">
      <c r="B51" s="69">
        <v>10</v>
      </c>
      <c r="C51" s="70">
        <f t="shared" si="0"/>
        <v>10</v>
      </c>
      <c r="D51" s="62" t="str">
        <f t="shared" si="1"/>
        <v/>
      </c>
    </row>
    <row r="52" spans="2:7" x14ac:dyDescent="0.3">
      <c r="B52" s="69" t="str">
        <f>IF(D41="X","",IF(D42="X",C42,IF(D43="X",C43,IF(D44="X",C44,IF(D45="X",C45,IF(D46="X",C46,IF(D47="X",C47,IF(D48="X",C48,IF(D49="X",C49,IF(D50="X",C50,IF(D51="X",C51,"")))))))))))</f>
        <v/>
      </c>
      <c r="C52" s="70"/>
      <c r="D52" s="62"/>
    </row>
    <row r="54" spans="2:7" ht="26.1" customHeight="1" x14ac:dyDescent="0.3">
      <c r="B54" s="66" t="s">
        <v>164</v>
      </c>
    </row>
    <row r="55" spans="2:7" x14ac:dyDescent="0.3">
      <c r="B55" t="s">
        <v>165</v>
      </c>
    </row>
    <row r="56" spans="2:7" ht="35.1" customHeight="1" x14ac:dyDescent="0.3">
      <c r="B56" s="121" t="s">
        <v>7</v>
      </c>
      <c r="C56" s="121"/>
      <c r="D56" s="121"/>
      <c r="E56" s="121"/>
      <c r="F56" s="121"/>
      <c r="G56" s="121"/>
    </row>
    <row r="57" spans="2:7" ht="300" customHeight="1" x14ac:dyDescent="0.3">
      <c r="B57" s="117"/>
      <c r="C57" s="117"/>
      <c r="D57" s="117"/>
      <c r="E57" s="117"/>
      <c r="F57" s="117"/>
      <c r="G57" s="117"/>
    </row>
    <row r="59" spans="2:7" ht="26.1" customHeight="1" x14ac:dyDescent="0.3">
      <c r="B59" s="66" t="s">
        <v>134</v>
      </c>
    </row>
    <row r="60" spans="2:7" x14ac:dyDescent="0.3">
      <c r="B60" s="71" t="s">
        <v>166</v>
      </c>
    </row>
    <row r="61" spans="2:7" x14ac:dyDescent="0.3">
      <c r="B61" t="s">
        <v>167</v>
      </c>
    </row>
    <row r="64" spans="2:7" x14ac:dyDescent="0.3">
      <c r="B64" t="s">
        <v>168</v>
      </c>
    </row>
    <row r="65" spans="2:7" ht="50.1" customHeight="1" x14ac:dyDescent="0.3">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Voorblad</vt:lpstr>
      <vt:lpstr>B1-K1-W1</vt:lpstr>
      <vt:lpstr>B1-K1-W2</vt:lpstr>
      <vt:lpstr>B1-K1-W3</vt:lpstr>
      <vt:lpstr>B1-K1-W4</vt:lpstr>
      <vt:lpstr>B1-K1-W5</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'B1-K1-W1'!Print_Area</vt:lpstr>
      <vt:lpstr>'B1-K1-W2'!Print_Area</vt:lpstr>
      <vt:lpstr>'B1-K1-W3'!Print_Area</vt:lpstr>
      <vt:lpstr>'B1-K1-W4'!Print_Area</vt:lpstr>
      <vt:lpstr>'B1-K1-W5'!Print_Area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Ali Küçük</cp:lastModifiedBy>
  <cp:revision/>
  <dcterms:created xsi:type="dcterms:W3CDTF">2015-10-30T11:14:52Z</dcterms:created>
  <dcterms:modified xsi:type="dcterms:W3CDTF">2024-10-25T09:02:19Z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