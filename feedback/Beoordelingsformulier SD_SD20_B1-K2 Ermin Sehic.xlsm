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00000000-0000-0000-0000-000000000000}"/>
  <workbookPr codeName="ThisWorkbook"/>
  <mc:AlternateContent xmlns:mc="http://schemas.openxmlformats.org/markup-compatibility/2006">
    <mc:Choice Requires="x15">
      <x15ac:absPath xmlns:x15ac="http://schemas.microsoft.com/office/spreadsheetml/2010/11/ac" url="C:\Users\dzema\Downloads\"/>
    </mc:Choice>
  </mc:AlternateContent>
  <xr:revisionPtr revIDLastSave="0" documentId="8_{190C2662-5890-4BA7-B2CF-02689D7EA4EC}" xr6:coauthVersionLast="47" xr6:coauthVersionMax="47" xr10:uidLastSave="{00000000-0000-0000-0000-000000000000}"/>
  <bookViews>
    <workbookView xWindow="-108" yWindow="-108" windowWidth="19416" windowHeight="1149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<sst xmlns="http://schemas.openxmlformats.org/spreadsheetml/2006/main" count="329" uniqueCount="154">
  <si>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</si>
  <si>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</si>
  <si>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</si>
  <si>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</si>
  <si>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</si>
  <si>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</si>
  <si>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</si>
  <si>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</si>
  <si>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</si>
  <si>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</si>
  <si>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</si>
  <si>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</si>
  <si>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</si>
  <si>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</si>
  <si>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</si>
  <si>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</si>
  <si>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</si>
  <si>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</si>
  <si>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</si>
  <si>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</si>
  <si>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</si>
  <si>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</si>
  <si>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</si>
  <si>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</si>
  <si>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</si>
  <si>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</si>
  <si>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</si>
  <si>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</si>
  <si>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</si>
  <si>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</si>
  <si>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</si>
  <si>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</si>
  <si>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</si>
  <si>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</si>
  <si>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</si>
  <si>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</si>
  <si>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</si>
  <si>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</si>
  <si>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</si>
  <si>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</si>
  <si>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</si>
  <si>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</si>
  <si>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</si>
  <si>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</si>
  <si>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</si>
  <si>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</si>
  <si>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</si>
  <si>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</si>
  <si>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</si>
  <si>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</si>
  <si>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</si>
  <si>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</si>
  <si>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</si>
  <si>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</si>
  <si>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</si>
  <si>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</si>
  <si>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</si>
  <si>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</si>
  <si>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</si>
  <si>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</si>
  <si>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</si>
  <si>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</si>
  <si>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</si>
  <si>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</si>
  <si>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</si>
  <si>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</si>
  <si>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</si>
  <si>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</si>
  <si>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</si>
  <si>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</si>
  <si>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</si>
  <si>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</si>
  <si>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</si>
  <si>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</si>
  <si>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</si>
  <si>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</si>
  <si>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</si>
  <si>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</si>
  <si>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</si>
  <si>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</si>
  <si>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</si>
  <si>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</si>
  <si>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</si>
  <si>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</si>
  <si>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</si>
  <si>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</si>
  <si>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</si>
  <si>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</si>
  <si>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</si>
  <si>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</si>
  <si>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</si>
  <si>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</si>
  <si>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</si>
  <si>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</si>
  <si>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</si>
  <si>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</si>
  <si>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</si>
  <si>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</si>
  <si>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</si>
  <si>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</si>
  <si>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</si>
  <si>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</si>
  <si>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</si>
  <si>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</si>
  <si>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</si>
  <si>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</si>
  <si>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</si>
  <si>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</si>
  <si>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</si>
  <si>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</si>
  <si>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</si>
  <si>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</si>
  <si>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</si>
  <si>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</si>
  <si>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</si>
  <si>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</si>
  <si>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</si>
  <si>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</si>
  <si>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</si>
  <si>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</si>
  <si>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</si>
  <si>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</si>
  <si>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</si>
  <si>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</si>
  <si>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</si>
  <si>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</si>
  <si>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</si>
  <si>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</si>
  <si>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</si>
  <si>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</si>
  <si>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</si>
  <si>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</si>
  <si>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</si>
  <si>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</si>
  <si>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</si>
  <si>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</si>
  <si>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</si>
  <si>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</si>
  <si>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</si>
  <si>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</si>
  <si>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</si>
  <si>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</si>
  <si>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</si>
  <si>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</si>
  <si>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</si>
  <si>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</si>
  <si>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</si>
  <si>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</si>
  <si>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</si>
  <si>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</si>
  <si>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</si>
  <si>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</si>
  <si>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Ermin Sehic</t>
  </si>
  <si>
    <t>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</si>
</sst>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opLeftCell="A14" workbookViewId="0">
      <selection activeCell="B19" sqref="B19:C19"/>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45590</v>
      </c>
      <c r="C16" s="105"/>
      <c r="D16" s="71" t="s">
        <v>106</v>
      </c>
    </row>
    <row r="17" spans="1:3" x14ac:dyDescent="0.3">
      <c r="A17" s="70" t="s">
        <v>38</v>
      </c>
      <c r="B17" s="99" t="s">
        <v>152</v>
      </c>
      <c r="C17" s="100"/>
    </row>
    <row r="18" spans="1:3" x14ac:dyDescent="0.3">
      <c r="A18" s="70" t="s">
        <v>39</v>
      </c>
      <c r="B18" s="106"/>
      <c r="C18" s="107"/>
    </row>
    <row r="19" spans="1:3" x14ac:dyDescent="0.3">
      <c r="A19" s="70" t="s">
        <v>40</v>
      </c>
      <c r="B19" s="99" t="s">
        <v>153</v>
      </c>
      <c r="C19" s="100"/>
    </row>
    <row r="20" spans="1:3" x14ac:dyDescent="0.3">
      <c r="A20" s="70" t="s">
        <v>107</v>
      </c>
      <c r="B20" s="99"/>
      <c r="C20" s="100"/>
    </row>
    <row r="21" spans="1:3" x14ac:dyDescent="0.3">
      <c r="A21" s="70" t="s">
        <v>108</v>
      </c>
      <c r="B21" s="99"/>
      <c r="C21" s="100"/>
    </row>
    <row r="22" spans="1:3" ht="15" thickBot="1" x14ac:dyDescent="0.35"/>
    <row r="23" spans="1:3" ht="15" thickBot="1" x14ac:dyDescent="0.35">
      <c r="A23" s="72" t="s">
        <v>26</v>
      </c>
      <c r="B23" s="73" t="s">
        <v>109</v>
      </c>
      <c r="C23" s="108" t="s">
        <v>110</v>
      </c>
    </row>
    <row r="24" spans="1:3" x14ac:dyDescent="0.3">
      <c r="A24" s="70" t="s">
        <v>63</v>
      </c>
      <c r="B24" s="74">
        <f>'B1-K2-W1'!B45</f>
        <v>10</v>
      </c>
      <c r="C24" s="108"/>
    </row>
    <row r="25" spans="1:3" x14ac:dyDescent="0.3">
      <c r="A25" s="70" t="s">
        <v>65</v>
      </c>
      <c r="B25" s="74">
        <f>'B1-K2-W2'!B41</f>
        <v>10</v>
      </c>
      <c r="C25" s="108"/>
    </row>
    <row r="26" spans="1:3" x14ac:dyDescent="0.3">
      <c r="A26" s="70" t="s">
        <v>67</v>
      </c>
      <c r="B26" s="74">
        <f>'B1-K2-W3'!B41</f>
        <v>10</v>
      </c>
      <c r="C26" s="108"/>
    </row>
    <row r="27" spans="1:3" x14ac:dyDescent="0.3">
      <c r="A27" s="16"/>
      <c r="B27" s="84"/>
      <c r="C27" s="83"/>
    </row>
    <row r="28" spans="1:3" x14ac:dyDescent="0.3">
      <c r="A28" s="85" t="s">
        <v>111</v>
      </c>
      <c r="B28" s="86" cm="1">
        <f t="array" ref="B28">IF(OR(B24:B26&lt;5.5),1,IF(OR(B24:B26=""),"",(AVERAGE(B24:B26))))</f>
        <v>10</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8" workbookViewId="0">
      <selection activeCell="B49" sqref="B49:G4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Ermin Sehic</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
      </c>
    </row>
    <row r="44" spans="2:4" x14ac:dyDescent="0.3">
      <c r="B44" s="67">
        <v>12</v>
      </c>
      <c r="C44" s="68">
        <f t="shared" si="0"/>
        <v>10</v>
      </c>
      <c r="D44" s="60" t="str">
        <f t="shared" si="1"/>
        <v>X</v>
      </c>
    </row>
    <row r="45" spans="2:4" hidden="1" x14ac:dyDescent="0.3">
      <c r="B45" s="67">
        <f>IF(D32="X","",IF(D33="X",C33,IF(D34="X",C34,IF(D35="X",C35,IF(D36="X",C36,IF(D37="X",C37,IF(D38="X",C38,IF(D39="X",C39,IF(D40="X",C40,IF(D41="X",C41,IF(D42="X",C42,IF(D43="X",C43,IF(D44="X",C44,"")))))))))))))</f>
        <v>10</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6"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Ermin Sehic</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t="15" hidden="1" customHeight="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28"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Ermin Sehic</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idden="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Dzemal Nikocevic</cp:lastModifiedBy>
  <cp:revision/>
  <dcterms:created xsi:type="dcterms:W3CDTF">2015-10-30T11:14:52Z</dcterms:created>
  <dcterms:modified xsi:type="dcterms:W3CDTF">2024-10-25T09:04:07Z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