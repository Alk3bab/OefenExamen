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00000000-0000-0000-0000-000000000000}"/>
  <workbookPr codeName="ThisWorkbook"/>
  <mc:AlternateContent xmlns:mc="http://schemas.openxmlformats.org/markup-compatibility/2006">
    <mc:Choice Requires="x15">
      <x15ac:absPath xmlns:x15ac="http://schemas.microsoft.com/office/spreadsheetml/2010/11/ac" url="C:\Users\dzema\Downloads\"/>
    </mc:Choice>
  </mc:AlternateContent>
  <xr:revisionPtr revIDLastSave="0" documentId="8_{FC4BEE59-F458-4F2D-88F2-B6765BD7D58B}" xr6:coauthVersionLast="47" xr6:coauthVersionMax="47" xr10:uidLastSave="{00000000-0000-0000-0000-000000000000}"/>
  <bookViews>
    <workbookView xWindow="-108" yWindow="-108" windowWidth="19416" windowHeight="1149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8" i="94"/>
  <c r="C19"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<sst xmlns="http://schemas.openxmlformats.org/spreadsheetml/2006/main" count="566" uniqueCount="213">
  <si>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</si>
  <si>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</si>
  <si>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</si>
  <si>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</si>
  <si>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</si>
  <si>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</si>
  <si>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</si>
  <si>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</si>
  <si>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</si>
  <si>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</si>
  <si>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</si>
  <si>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</si>
  <si>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</si>
  <si>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</si>
  <si>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</si>
  <si>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</si>
  <si>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</si>
  <si>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</si>
  <si>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</si>
  <si>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</si>
  <si>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</si>
  <si>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</si>
  <si>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</si>
  <si>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</si>
  <si>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</si>
  <si>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</si>
  <si>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</si>
  <si>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</si>
  <si>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</si>
  <si>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</si>
  <si>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</si>
  <si>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</si>
  <si>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</si>
  <si>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</si>
  <si>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</si>
  <si>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</si>
  <si>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</si>
  <si>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</si>
  <si>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</si>
  <si>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</si>
  <si>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</si>
  <si>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</si>
  <si>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</si>
  <si>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</si>
  <si>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</si>
  <si>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</si>
  <si>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</si>
  <si>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</si>
  <si>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</si>
  <si>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</si>
  <si>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</si>
  <si>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</si>
  <si>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</si>
  <si>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</si>
  <si>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</si>
  <si>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</si>
  <si>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</si>
  <si>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</si>
  <si>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</si>
  <si>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</si>
  <si>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</si>
  <si>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</si>
  <si>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</si>
  <si>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</si>
  <si>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</si>
  <si>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</si>
  <si>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</si>
  <si>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</si>
  <si>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</si>
  <si>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</si>
  <si>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</si>
  <si>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</si>
  <si>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</si>
  <si>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</si>
  <si>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</si>
  <si>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</si>
  <si>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</si>
  <si>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</si>
  <si>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</si>
  <si>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</si>
  <si>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</si>
  <si>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</si>
  <si>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</si>
  <si>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</si>
  <si>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</si>
  <si>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</si>
  <si>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</si>
  <si>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</si>
  <si>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</si>
  <si>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</si>
  <si>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</si>
  <si>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</si>
  <si>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</si>
  <si>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</si>
  <si>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</si>
  <si>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</si>
  <si>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</si>
  <si>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</si>
  <si>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</si>
  <si>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</si>
  <si>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</si>
  <si>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</si>
  <si>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</si>
  <si>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</si>
  <si>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</si>
  <si>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</si>
  <si>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</si>
  <si>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</si>
  <si>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</si>
  <si>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</si>
  <si>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</si>
  <si>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</si>
  <si>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</si>
  <si>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</si>
  <si>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</si>
  <si>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</si>
  <si>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</si>
  <si>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</si>
  <si>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</si>
  <si>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</si>
  <si>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</si>
  <si>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</si>
  <si>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</si>
  <si>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</si>
  <si>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</si>
  <si>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</si>
  <si>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</si>
  <si>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</si>
  <si>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</si>
  <si>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</si>
  <si>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</si>
  <si>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</si>
  <si>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</si>
  <si>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</si>
  <si>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</si>
  <si>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</si>
  <si>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</si>
  <si>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</si>
  <si>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</si>
  <si>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</si>
  <si>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</si>
  <si>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</si>
  <si>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</si>
  <si>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</si>
  <si>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</si>
  <si>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</si>
  <si>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</si>
  <si>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</si>
  <si>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</si>
  <si>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</si>
  <si>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</si>
  <si>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</si>
  <si>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</si>
  <si>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</si>
  <si>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</si>
  <si>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</si>
  <si>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</si>
  <si>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</si>
  <si>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</si>
  <si>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</si>
  <si>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</si>
  <si>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</si>
  <si>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</si>
  <si>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</si>
  <si>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</si>
  <si>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</si>
  <si>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</si>
  <si>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</si>
  <si>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</si>
  <si>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</si>
  <si>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</si>
  <si>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</si>
  <si>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</si>
  <si>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</si>
  <si>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</si>
  <si>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</si>
  <si>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</si>
  <si>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</si>
  <si>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</si>
  <si>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</si>
  <si>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</si>
  <si>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</si>
  <si>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</si>
  <si>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</si>
  <si>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</si>
  <si>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</si>
  <si>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</si>
  <si>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</si>
  <si>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</si>
  <si>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</si>
  <si>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</si>
  <si>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</si>
  <si>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</si>
  <si>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</si>
  <si>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</si>
  <si>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</si>
  <si>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</si>
  <si>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</si>
  <si>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</si>
  <si>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</si>
  <si>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</si>
  <si>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</si>
  <si>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</si>
  <si>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</si>
  <si>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</si>
  <si>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</si>
  <si>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</si>
  <si>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</si>
  <si>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</si>
  <si>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</si>
  <si>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</si>
  <si>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Ermin Sehic</t>
  </si>
  <si>
    <t>3B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</si>
</sst>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fmlaLink="'B1-K1-W2'!$K$25" lockText="1" noThreeD="1"/>
</file>

<file path=xl/ctrlProps/ctrlProp29.xml><?xml version="1.0" encoding="utf-8"?>
<formControlPr xmlns="http://schemas.microsoft.com/office/spreadsheetml/2009/9/main" objectType="CheckBox" checked="Checked"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checked="Checked" fmlaLink="'B1-K1-W2'!$L$26"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fmlaLink="'B1-K1-W3'!$K$25" lockText="1" noThreeD="1"/>
</file>

<file path=xl/ctrlProps/ctrlProp43.xml><?xml version="1.0" encoding="utf-8"?>
<formControlPr xmlns="http://schemas.microsoft.com/office/spreadsheetml/2009/9/main" objectType="CheckBox" checked="Checked"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fmlaLink="'B1-K1-W3'!$K$28" lockText="1" noThreeD="1"/>
</file>

<file path=xl/ctrlProps/ctrlProp55.xml><?xml version="1.0" encoding="utf-8"?>
<formControlPr xmlns="http://schemas.microsoft.com/office/spreadsheetml/2009/9/main" objectType="CheckBox" checked="Checked"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checked="Checked"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checked="Checked"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checked="Checked" fmlaLink="'B1-K1-W4'!$L$26"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fmlaLink="'B1-K1-W5'!$K$24" lockText="1" noThreeD="1"/>
</file>

<file path=xl/ctrlProps/ctrlProp85.xml><?xml version="1.0" encoding="utf-8"?>
<formControlPr xmlns="http://schemas.microsoft.com/office/spreadsheetml/2009/9/main" objectType="CheckBox" checked="Checked"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fmlaLink="'B1-K1-W5'!$K$25" lockText="1" noThreeD="1"/>
</file>

<file path=xl/ctrlProps/ctrlProp89.xml><?xml version="1.0" encoding="utf-8"?>
<formControlPr xmlns="http://schemas.microsoft.com/office/spreadsheetml/2009/9/main" objectType="CheckBox" checked="Checked"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fmlaLink="'B1-K1-W5'!$K$26" lockText="1" noThreeD="1"/>
</file>

<file path=xl/ctrlProps/ctrlProp93.xml><?xml version="1.0" encoding="utf-8"?>
<formControlPr xmlns="http://schemas.microsoft.com/office/spreadsheetml/2009/9/main" objectType="CheckBox" checked="Checked"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workbookViewId="0">
      <selection activeCell="A20" sqref="A20:A21"/>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c r="C16" s="114"/>
      <c r="D16" s="78" t="s">
        <v>136</v>
      </c>
    </row>
    <row r="17" spans="1:4" x14ac:dyDescent="0.3">
      <c r="A17" s="77" t="s">
        <v>38</v>
      </c>
      <c r="B17" s="107"/>
      <c r="C17" s="108"/>
    </row>
    <row r="18" spans="1:4" x14ac:dyDescent="0.3">
      <c r="A18" s="77" t="s">
        <v>39</v>
      </c>
      <c r="B18" s="115"/>
      <c r="C18" s="116"/>
    </row>
    <row r="19" spans="1:4" x14ac:dyDescent="0.3">
      <c r="A19" s="77" t="s">
        <v>40</v>
      </c>
      <c r="B19" s="107"/>
      <c r="C19" s="108"/>
    </row>
    <row r="20" spans="1:4" x14ac:dyDescent="0.3">
      <c r="A20" s="77" t="s">
        <v>137</v>
      </c>
      <c r="B20" s="107"/>
      <c r="C20" s="108"/>
    </row>
    <row r="21" spans="1:4" x14ac:dyDescent="0.3">
      <c r="A21" s="77" t="s">
        <v>138</v>
      </c>
      <c r="B21" s="107"/>
      <c r="C21" s="108"/>
    </row>
    <row r="22" spans="1:4" ht="15" thickBot="1" x14ac:dyDescent="0.35"/>
    <row r="23" spans="1:4" ht="15" thickBot="1" x14ac:dyDescent="0.35">
      <c r="A23" s="95" t="s">
        <v>26</v>
      </c>
      <c r="B23" s="94" t="s">
        <v>139</v>
      </c>
      <c r="C23" s="109" t="s">
        <v>140</v>
      </c>
    </row>
    <row r="24" spans="1:4" x14ac:dyDescent="0.3">
      <c r="A24" s="77" t="s">
        <v>63</v>
      </c>
      <c r="B24" s="79">
        <f>'B1-K1-W1'!B45</f>
        <v>10</v>
      </c>
      <c r="C24" s="109"/>
    </row>
    <row r="25" spans="1:4" x14ac:dyDescent="0.3">
      <c r="A25" s="77" t="s">
        <v>65</v>
      </c>
      <c r="B25" s="79">
        <f>IF('B1-K1-W2'!E30=TRUE,'B1-K1-W2'!B46,"")</f>
        <v>10</v>
      </c>
      <c r="C25" s="109"/>
    </row>
    <row r="26" spans="1:4" x14ac:dyDescent="0.3">
      <c r="A26" s="77" t="s">
        <v>67</v>
      </c>
      <c r="B26" s="79">
        <f>IF('B1-K1-W3'!E33=TRUE,'B1-K1-W3'!B64,"")</f>
        <v>10</v>
      </c>
      <c r="C26" s="109"/>
    </row>
    <row r="27" spans="1:4" x14ac:dyDescent="0.3">
      <c r="A27" s="77" t="s">
        <v>69</v>
      </c>
      <c r="B27" s="79">
        <f>'B1-K1-W4'!B41</f>
        <v>10</v>
      </c>
      <c r="C27" s="109"/>
    </row>
    <row r="28" spans="1:4" x14ac:dyDescent="0.3">
      <c r="A28" s="77" t="s">
        <v>71</v>
      </c>
      <c r="B28" s="79">
        <f>IF('B1-K1-W5'!E35=TRUE,'B1-K1-W5'!B52,"")</f>
        <v>10</v>
      </c>
      <c r="C28" s="109"/>
    </row>
    <row r="29" spans="1:4" x14ac:dyDescent="0.3">
      <c r="A29" s="16"/>
      <c r="B29" s="89"/>
      <c r="C29" s="88"/>
      <c r="D29" s="92"/>
    </row>
    <row r="30" spans="1:4" x14ac:dyDescent="0.3">
      <c r="A30" s="90" t="s">
        <v>141</v>
      </c>
      <c r="B30" s="91" cm="1">
        <f t="array" ref="B30">IF(OR(B24:B28&lt;5.5),1,IF(OR(B24:B28=""),"",(AVERAGE(B24:B28))))</f>
        <v>10</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9:C9"/>
    <mergeCell ref="B11:C11"/>
    <mergeCell ref="B13:C13"/>
    <mergeCell ref="A1:C1"/>
    <mergeCell ref="A3:C3"/>
    <mergeCell ref="B6:C6"/>
    <mergeCell ref="B7:C7"/>
    <mergeCell ref="B8:C8"/>
    <mergeCell ref="B20:C20"/>
    <mergeCell ref="B21:C21"/>
    <mergeCell ref="C23:C28"/>
    <mergeCell ref="A15:C15"/>
    <mergeCell ref="B16:C16"/>
    <mergeCell ref="B17:C17"/>
    <mergeCell ref="B18:C18"/>
    <mergeCell ref="B19:C19"/>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34"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v>45590</v>
      </c>
      <c r="D14" s="9"/>
      <c r="E14" s="9"/>
      <c r="F14" s="9"/>
      <c r="G14" s="13"/>
    </row>
    <row r="15" spans="1:7" ht="22.5" customHeight="1" x14ac:dyDescent="0.3">
      <c r="B15" s="56" t="s">
        <v>38</v>
      </c>
      <c r="C15" s="86" t="s">
        <v>211</v>
      </c>
      <c r="D15" s="10"/>
      <c r="E15" s="10"/>
      <c r="F15" s="10"/>
      <c r="G15" s="14"/>
    </row>
    <row r="16" spans="1:7" ht="22.5" customHeight="1" x14ac:dyDescent="0.3">
      <c r="B16" s="56" t="s">
        <v>39</v>
      </c>
      <c r="C16" s="87"/>
      <c r="D16" s="10"/>
      <c r="E16" s="10"/>
      <c r="F16" s="10"/>
      <c r="G16" s="14"/>
    </row>
    <row r="17" spans="1:15" ht="22.5" customHeight="1" x14ac:dyDescent="0.3">
      <c r="B17" s="56" t="s">
        <v>40</v>
      </c>
      <c r="C17" s="84" t="s">
        <v>212</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X</v>
      </c>
    </row>
    <row r="45" spans="2:4" hidden="1" x14ac:dyDescent="0.3">
      <c r="B45" s="69">
        <f>IF(D32="X","",IF(D33="X",C33,IF(D34="X",C34,IF(D35="X",C35,IF(D36="X",C36,IF(D37="X",C37,IF(D38="X",C38,IF(D39="X",C39,IF(D40="X",C40,IF(D41="X",C41,IF(D42="X",C42,IF(D43="X",C43,IF(D44="X",C44,"")))))))))))))</f>
        <v>10</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36"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IF(L25=TRUE,3,IF(K25=TRUE,2,IF(J25=TRUE,1,IF(I25=TRUE,0,0))))</f>
        <v>3</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X</v>
      </c>
    </row>
    <row r="46" spans="2:4" hidden="1" x14ac:dyDescent="0.3">
      <c r="B46" s="69">
        <f>IF(D36="X","",IF(D36="X",C36,IF(D37="X",C37,IF(D38="X",C38,IF(D39="X",C39,IF(D40="X",C40,IF(D41="X",C41,IF(D42="X",C42,IF(D43="X",C43,IF(D44="X",C44,IF(D45="X",C45,"")))))))))))</f>
        <v>10</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5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18</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0</v>
      </c>
      <c r="L25" s="59" t="b">
        <v>1</v>
      </c>
      <c r="M25" s="59">
        <f t="shared" si="0"/>
        <v>3</v>
      </c>
      <c r="N25" s="59">
        <f t="shared" si="1"/>
        <v>3</v>
      </c>
      <c r="O25" s="59">
        <f t="shared" si="2"/>
        <v>3</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0</v>
      </c>
      <c r="L28" s="59" t="b">
        <v>1</v>
      </c>
      <c r="M28" s="59">
        <f t="shared" si="0"/>
        <v>3</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
      </c>
    </row>
    <row r="62" spans="2:4" x14ac:dyDescent="0.3">
      <c r="B62" s="69">
        <v>17</v>
      </c>
      <c r="C62" s="70">
        <f t="shared" si="3"/>
        <v>9.5</v>
      </c>
      <c r="D62" s="62" t="str">
        <f t="shared" si="4"/>
        <v/>
      </c>
    </row>
    <row r="63" spans="2:4" x14ac:dyDescent="0.3">
      <c r="B63" s="69">
        <v>18</v>
      </c>
      <c r="C63" s="70">
        <f t="shared" si="3"/>
        <v>10</v>
      </c>
      <c r="D63" s="62" t="str">
        <f t="shared" si="4"/>
        <v>X</v>
      </c>
    </row>
    <row r="64" spans="2:4" hidden="1" x14ac:dyDescent="0.3">
      <c r="B64" s="69">
        <f>IF(D45="X","",IF(D46="X",C46,IF(D47="X",C47,IF(D48="X",C48,IF(D49="X",C49,IF(D50="X",C50,IF(D51="X",C51,IF(D52="X",C52,IF(D53="X",C53,IF(D54="X",C54,IF(D55="X",C55,IF(D56="X",C56,IF(D57="X",C57,IF(D58="X",C58,IF(D59="X",C59,IF(D60="X",C60,IF(D61="X",C61,IF(D62="X",C62,IF(D63="X",C63,"")))))))))))))))))))</f>
        <v>10</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7"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9</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0</v>
      </c>
      <c r="K26" s="59" t="b">
        <v>0</v>
      </c>
      <c r="L26" s="59" t="b">
        <v>1</v>
      </c>
      <c r="M26" s="59">
        <f>IF(L26=TRUE,3,IF(K26=TRUE,2,IF(J26=TRUE,1,IF(I26=TRUE,0,0))))</f>
        <v>3</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X</v>
      </c>
    </row>
    <row r="41" spans="2:7" hidden="1" x14ac:dyDescent="0.3">
      <c r="B41" s="69">
        <f>IF(D31="X","",IF(D32="X",C32,IF(D33="X",C33,IF(D34="X",C34,IF(D35="X",C35,IF(D36="X",C36,IF(D37="X",C37,IF(D38="X",C38,IF(D39="X",C39,IF(D40="X",C40,""))))))))))</f>
        <v>10</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34"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10</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t="str">
        <f>IF(Voorblad!B16="","",Voorblad!B16)</f>
        <v/>
      </c>
      <c r="D14" s="9"/>
      <c r="E14" s="9"/>
      <c r="F14" s="9"/>
      <c r="G14" s="13"/>
    </row>
    <row r="15" spans="1:7" ht="22.5" customHeight="1" x14ac:dyDescent="0.3">
      <c r="B15" s="56" t="s">
        <v>38</v>
      </c>
      <c r="C15" s="86" t="str">
        <f>IF(Voorblad!B17="","",Voorblad!B17)</f>
        <v/>
      </c>
      <c r="D15" s="10"/>
      <c r="E15" s="10"/>
      <c r="F15" s="10"/>
      <c r="G15" s="14"/>
    </row>
    <row r="16" spans="1:7" ht="22.5" customHeight="1" x14ac:dyDescent="0.3">
      <c r="B16" s="56" t="s">
        <v>39</v>
      </c>
      <c r="C16" s="87" t="str">
        <f>IF(Voorblad!B18="","",Voorblad!B18)</f>
        <v/>
      </c>
      <c r="D16" s="10"/>
      <c r="E16" s="10"/>
      <c r="F16" s="10"/>
      <c r="G16" s="14"/>
    </row>
    <row r="17" spans="1:15" ht="22.5" customHeight="1" x14ac:dyDescent="0.3">
      <c r="B17" s="56" t="s">
        <v>40</v>
      </c>
      <c r="C17" s="84" t="str">
        <f>IF(Voorblad!B19="","",Voorblad!B19)</f>
        <v/>
      </c>
      <c r="D17" s="10"/>
      <c r="E17" s="10"/>
      <c r="F17" s="10"/>
      <c r="G17" s="14"/>
    </row>
    <row r="18" spans="1:15" ht="22.5" customHeight="1" x14ac:dyDescent="0.3">
      <c r="B18" s="77" t="s">
        <v>137</v>
      </c>
      <c r="C18" s="84" t="str">
        <f>IF(Voorblad!B20="","",Voorblad!B20)</f>
        <v/>
      </c>
      <c r="D18" s="10"/>
      <c r="E18" s="10"/>
      <c r="F18" s="10"/>
      <c r="G18" s="14"/>
    </row>
    <row r="19" spans="1:15" ht="22.5" customHeight="1" x14ac:dyDescent="0.3">
      <c r="B19" s="77" t="s">
        <v>138</v>
      </c>
      <c r="C19" s="84" t="str">
        <f>IF(Voorblad!B21="","",Voorblad!B21)</f>
        <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0</v>
      </c>
      <c r="L24" s="59" t="b">
        <v>1</v>
      </c>
      <c r="M24" s="59">
        <f>IF(L24=TRUE,3,IF(K24=TRUE,2,IF(J24=TRUE,1,IF(I24=TRUE,0,0))))</f>
        <v>3</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c r="K25" s="59" t="b">
        <v>0</v>
      </c>
      <c r="L25" s="59" t="b">
        <v>1</v>
      </c>
      <c r="M25" s="59">
        <f>IF(L25=TRUE,3,IF(K25=TRUE,2,IF(J25=TRUE,1,IF(I25=TRUE,0,0))))</f>
        <v>3</v>
      </c>
      <c r="N25" s="59">
        <f>(4-COUNTBLANK(D25:G25))-1</f>
        <v>3</v>
      </c>
      <c r="O25" s="59">
        <f>COUNTA(I25:L25)</f>
        <v>2</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c r="K26" s="59" t="b">
        <v>0</v>
      </c>
      <c r="L26" s="59" t="b">
        <v>1</v>
      </c>
      <c r="M26" s="59">
        <f>IF(L26=TRUE,3,IF(K26=TRUE,2,IF(J26=TRUE,1,IF(I26=TRUE,0,0))))</f>
        <v>3</v>
      </c>
      <c r="N26" s="59">
        <f>(4-COUNTBLANK(D26:G26))-1</f>
        <v>3</v>
      </c>
      <c r="O26" s="59">
        <f>COUNTA(I26:L26)</f>
        <v>2</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X</v>
      </c>
    </row>
    <row r="52" spans="2:7" x14ac:dyDescent="0.3">
      <c r="B52" s="69">
        <f>IF(D41="X","",IF(D42="X",C42,IF(D43="X",C43,IF(D44="X",C44,IF(D45="X",C45,IF(D46="X",C46,IF(D47="X",C47,IF(D48="X",C48,IF(D49="X",C49,IF(D50="X",C50,IF(D51="X",C51,"")))))))))))</f>
        <v>10</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Dzemal Nikocevic</cp:lastModifiedBy>
  <cp:revision/>
  <dcterms:created xsi:type="dcterms:W3CDTF">2015-10-30T11:14:52Z</dcterms:created>
  <dcterms:modified xsi:type="dcterms:W3CDTF">2024-10-25T09:04:37Z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